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gredients" sheetId="2" state="visible" r:id="rId4"/>
    <sheet name="Diet Scenarios" sheetId="3" state="visible" r:id="rId5"/>
    <sheet name="Calculations" sheetId="4" state="visible" r:id="rId6"/>
    <sheet name="Results" sheetId="5" state="visible" r:id="rId7"/>
    <sheet name="Optimization" sheetId="6" state="visible" r:id="rId8"/>
    <sheet name="Validation &amp; Sensitivity" sheetId="7" state="visible" r:id="rId9"/>
    <sheet name="Ingredient Library Robustnes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<sst xmlns="http://schemas.openxmlformats.org/spreadsheetml/2006/main" count="294" uniqueCount="254">
  <si>
    <t xml:space="preserve">Dietary Fiber Strategy — GHG Emission Intensity vs. Farm Economics</t>
  </si>
  <si>
    <t xml:space="preserve">PURPOSE</t>
  </si>
  <si>
    <t xml:space="preserve">Constrained-optimization analysis linking dietary fiber composition (NDF, ADF, hemicellulose) to</t>
  </si>
  <si>
    <t xml:space="preserve">enteric methane emission intensity AND feed-cost economics, using the Niu et al. (2018) methane</t>
  </si>
  <si>
    <t xml:space="preserve">prediction equation. Diets are formulated de novo and cost-minimized at each dietary NDF level</t>
  </si>
  <si>
    <t xml:space="preserve">(rather than compared as a small fixed set of scenarios or inferred from regional correlation),</t>
  </si>
  <si>
    <t xml:space="preserve">directly quantifying the joint GHG and farm-economic consequences of dietary fiber composition.</t>
  </si>
  <si>
    <t xml:space="preserve">STRUCTURE</t>
  </si>
  <si>
    <t xml:space="preserve">  1. Ingredients   - feed composition (NASEM/published feed library values) and current U.S. prices</t>
  </si>
  <si>
    <t xml:space="preserve">  2. Diet Scenarios - 9 formulated diets: 3 forage sources x 3 forage:concentrate ratios</t>
  </si>
  <si>
    <t xml:space="preserve">  3. Calculations  - DMI, ECM, enteric CH4 (Niu et al. 2018), GHG intensity, feed cost, IOFC</t>
  </si>
  <si>
    <t xml:space="preserve">  4. Results        - summary trade-off table (kg CO2e/kg FPCM vs. $/cwt margin) + marginal cost curve</t>
  </si>
  <si>
    <t xml:space="preserve">COLOR KEY (per model convention)</t>
  </si>
  <si>
    <t xml:space="preserve">  Blue text  = hardcoded input / editable assumption</t>
  </si>
  <si>
    <t xml:space="preserve">  Black text = formula (recalculates automatically)</t>
  </si>
  <si>
    <t xml:space="preserve">  Yellow fill = key assumption to review/update before submission</t>
  </si>
  <si>
    <t xml:space="preserve">KEY ASSUMPTIONS TO VALIDATE BEFORE USE IN MANUSCRIPT (flagged yellow in-sheet)</t>
  </si>
  <si>
    <t xml:space="preserve">  - Feed composition values are representative NASEM/published library figures, not lab assays.</t>
  </si>
  <si>
    <t xml:space="preserve">    Replace with actual TMR analyses or NDS/CNCPS-formulated diets if available for stronger rigor.</t>
  </si>
  <si>
    <t xml:space="preserve">  - Milk yield, fat%, and protein% are HELD CONSTANT across diets to isolate the fiber-cost-emission</t>
  </si>
  <si>
    <t xml:space="preserve">    relationship. In reality diet composition can also shift milk composition; this is a stated</t>
  </si>
  <si>
    <t xml:space="preserve">    simplifying assumption and should be discussed explicitly as a limitation in the manuscript.</t>
  </si>
  <si>
    <t xml:space="preserve">  - DMI is derived mechanistically from energy balance (NEL maintenance + lactation / diet NEL</t>
  </si>
  <si>
    <t xml:space="preserve">    density), consistent with the well-established dilution-of-maintenance mechanism (Bauman and Currie, 1980) -</t>
  </si>
  <si>
    <t xml:space="preserve">    NOT held constant, unlike a naive scenario design.</t>
  </si>
  <si>
    <t xml:space="preserve">  - GHG intensity here reflects ENTERIC methane only (via Niu et al. 2018), not full cradle-to-farm-gate</t>
  </si>
  <si>
    <t xml:space="preserve">    emissions (feed production, manure, energy) reported in published whole-farm LCA studies. This should be stated as</t>
  </si>
  <si>
    <t xml:space="preserve">    scope, and discussed relative to the broader cradle-to-farm-gate LCA literature (see Discussion).</t>
  </si>
  <si>
    <t xml:space="preserve">  - Feed and milk prices are current approximate U.S. averages (see Ingredients tab, sourced) as of</t>
  </si>
  <si>
    <t xml:space="preserve">    mid-2026; update with USDA NASS Agricultural Prices / AMS Market News for the exact submission date.</t>
  </si>
  <si>
    <t xml:space="preserve">NEXT STEPS</t>
  </si>
  <si>
    <t xml:space="preserve">  - Replace illustrative feed composition with NASEM (2021) software output or actual TMR analyses.</t>
  </si>
  <si>
    <t xml:space="preserve">  - Expand to more forage:concentrate ratios / regions if reviewers request finer granularity.</t>
  </si>
  <si>
    <t xml:space="preserve">  - Consider adding a full cradle-to-farm-gate boundary (feed production emissions) as a sensitivity</t>
  </si>
  <si>
    <t xml:space="preserve">    analysis to compare scope with published cradle-to-farm-gate LCA estimates.</t>
  </si>
  <si>
    <t xml:space="preserve">UPDATE (INGREDIENT LIBRARY ROBUSTNESS)</t>
  </si>
  <si>
    <t xml:space="preserve">  - See the 'Ingredient Library Robustness' sheet: tests whether adding DDGS and soybean hulls</t>
  </si>
  <si>
    <t xml:space="preserve">    (common commercial byproducts) to the 5-ingredient library changes the headline finding.</t>
  </si>
  <si>
    <t xml:space="preserve">    Answer: the biological direction (higher NDF -&gt; higher GHG) is unchanged, but the economic</t>
  </si>
  <si>
    <t xml:space="preserve">    magnitude of the fiber-GHG-economics trade-off falls roughly 10-fold ($0.53/cwt -&gt; $0.05/cwt)</t>
  </si>
  <si>
    <t xml:space="preserve">    once byproducts are available to the optimizer.</t>
  </si>
  <si>
    <t xml:space="preserve">Ingredient</t>
  </si>
  <si>
    <t xml:space="preserve">DM %</t>
  </si>
  <si>
    <t xml:space="preserve">NDF %DM</t>
  </si>
  <si>
    <t xml:space="preserve">ADF %DM</t>
  </si>
  <si>
    <t xml:space="preserve">CP %DM</t>
  </si>
  <si>
    <t xml:space="preserve">NEL
(Mcal/kg DM)</t>
  </si>
  <si>
    <t xml:space="preserve">Price
($/ton as-fed)</t>
  </si>
  <si>
    <t xml:space="preserve">Price
($/kg DM)</t>
  </si>
  <si>
    <t xml:space="preserve">Hemicellulose
%DM (NDF-ADF)</t>
  </si>
  <si>
    <t xml:space="preserve">Source / note</t>
  </si>
  <si>
    <t xml:space="preserve">Alfalfa haylage</t>
  </si>
  <si>
    <t xml:space="preserve">USDA NASS Agricultural Prices, alfalfa hay, national avg, mid-2026 (haylage priced as hay-DM equivalent)</t>
  </si>
  <si>
    <t xml:space="preserve">Corn silage</t>
  </si>
  <si>
    <t xml:space="preserve">Univ. of Missouri Extension, 2026 Corn Silage Planning Budget (G664): total economic cost (operating+ownership, land-opportunity-cost basis, matching ARMS costing philosophy) = $52.36/ton as-fed ($149.60/ton DM)</t>
  </si>
  <si>
    <t xml:space="preserve">Grass hay</t>
  </si>
  <si>
    <t xml:space="preserve">USDA AMS/NASS grass &amp; grass-mix hay, national avg, mid-2026</t>
  </si>
  <si>
    <t xml:space="preserve">Corn grain, ground</t>
  </si>
  <si>
    <t xml:space="preserve">USDA NASS corn price ~$4.35/bu converted to $/ton (56 lb/bu)</t>
  </si>
  <si>
    <t xml:space="preserve">Soybean meal, 48%</t>
  </si>
  <si>
    <t xml:space="preserve">USDA WASDE / NASS soybean meal, 48% CP, national avg, mid-2026</t>
  </si>
  <si>
    <t xml:space="preserve">Milk price ($/cwt)</t>
  </si>
  <si>
    <t xml:space="preserve">USDA NASS all-milk price, most recent reported month (May 2026: $21.30/cwt) - UPDATE to submission-month figure before final draft</t>
  </si>
  <si>
    <t xml:space="preserve">Methane energy density (MJ/kg CH4)</t>
  </si>
  <si>
    <t xml:space="preserve">Brouwer (1965); standard gross energy value of methane</t>
  </si>
  <si>
    <t xml:space="preserve">CH4 GWP-100 (kg CO2e / kg CH4)</t>
  </si>
  <si>
    <t xml:space="preserve">IPCC AR6 (2021) fossil/biogenic methane GWP-100 - cite IPCC AR6 WG1 Ch.7 in manuscript</t>
  </si>
  <si>
    <t xml:space="preserve">Mineral/vitamin/additive premix ($/cow/day)</t>
  </si>
  <si>
    <t xml:space="preserve">Typical commercial premix cost not captured by the 2-ingredient concentrate mix; added as a flat daily cost so feed-cost/cwt is comparable to ARMS-reported figures</t>
  </si>
  <si>
    <t xml:space="preserve">NOTE ON FORAGE PRICING BASIS</t>
  </si>
  <si>
    <t xml:space="preserve">Corn silage price is the University of Missouri Extension 2026 Corn Silage Planning Budget (G664)</t>
  </si>
  <si>
    <t xml:space="preserve">total economic cost estimate ($52.36/ton as-fed = $149.60/ton DM), which includes land opportunity</t>
  </si>
  <si>
    <t xml:space="preserve">cost, machinery, and harvest -- matching the ARMS 'full economic cost of home-grown feed' basis used</t>
  </si>
  <si>
    <t xml:space="preserve">in this study, rather than a spot/standing-crop market price (which would be lower, ~$27-47/ton</t>
  </si>
  <si>
    <t xml:space="preserve">as-fed per Ohio State Extension). An earlier draft of this model used an uncited $200/ton placeholder;</t>
  </si>
  <si>
    <t xml:space="preserve">this has been corrected and sourced. Re-verify against local budgets before final submission.</t>
  </si>
  <si>
    <t xml:space="preserve">ADDITIONAL INGREDIENTS (Ingredient Library Robustness sheet ONLY -- not used in primary 5-ingredient model above)</t>
  </si>
  <si>
    <t xml:space="preserve">DDGS (distillers dried grains w/ solubles)</t>
  </si>
  <si>
    <t xml:space="preserve">Purdue Center for Commercial Agriculture / farmdoc, late-2025/early-2026 futures-linked DDG price projection ($145-155/ton); used ONLY in the Ingredient Library Robustness sheet, not the primary 5-ingredient model.</t>
  </si>
  <si>
    <t xml:space="preserve">Soybean hulls</t>
  </si>
  <si>
    <t xml:space="preserve">Composition: Blasi et al., 2000 (Kansas State Univ. MF-2438). Price: illustrative 2026 byproduct estimate, ~90% of corn grain price/ton; used ONLY in the Ingredient Library Robustness sheet, not the primary 5-ingredient model.</t>
  </si>
  <si>
    <t xml:space="preserve">Scenario</t>
  </si>
  <si>
    <t xml:space="preserve">Forage source</t>
  </si>
  <si>
    <t xml:space="preserve">Forage:Conc ratio</t>
  </si>
  <si>
    <t xml:space="preserve">Forage %DM of diet</t>
  </si>
  <si>
    <t xml:space="preserve">Concentrate %DM of diet</t>
  </si>
  <si>
    <t xml:space="preserve">Corn grain % of concentrate</t>
  </si>
  <si>
    <t xml:space="preserve">SBM % of concentrate</t>
  </si>
  <si>
    <t xml:space="preserve">Diet NDF %DM</t>
  </si>
  <si>
    <t xml:space="preserve">Diet ADF %DM</t>
  </si>
  <si>
    <t xml:space="preserve">Diet Hemicellulose %DM</t>
  </si>
  <si>
    <t xml:space="preserve">Diet CP %DM</t>
  </si>
  <si>
    <t xml:space="preserve">Diet NEL (Mcal/kg DM)</t>
  </si>
  <si>
    <t xml:space="preserve">S1</t>
  </si>
  <si>
    <t xml:space="preserve">45:55</t>
  </si>
  <si>
    <t xml:space="preserve">S2</t>
  </si>
  <si>
    <t xml:space="preserve">50:50</t>
  </si>
  <si>
    <t xml:space="preserve">S3</t>
  </si>
  <si>
    <t xml:space="preserve">55:45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</si>
  <si>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</si>
  <si>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</si>
  <si>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</si>
  <si>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</si>
  <si>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</si>
  <si>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</si>
  <si>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Note: corn:SBM split (col F) is a free lever, defaulted to 80:20; adjust per scenario so diet CP (col K) lands near a 16.0-17.0% DM target before finalizing for the manuscript.</t>
  </si>
  <si>
    <t xml:space="preserve">Ratio</t>
  </si>
  <si>
    <t xml:space="preserve">BW (kg)</t>
  </si>
  <si>
    <t xml:space="preserve">Milk yield (kg/d)</t>
  </si>
  <si>
    <t xml:space="preserve">Fat %</t>
  </si>
  <si>
    <t xml:space="preserve">CP %(milk)</t>
  </si>
  <si>
    <t xml:space="preserve">ECM (kg/d)</t>
  </si>
  <si>
    <t xml:space="preserve">NEm (Mcal/d)</t>
  </si>
  <si>
    <t xml:space="preserve">NEl milk (Mcal/d)</t>
  </si>
  <si>
    <t xml:space="preserve">DMI (kg/d)</t>
  </si>
  <si>
    <t xml:space="preserve">CH4 (MJ/d, Niu 2018)</t>
  </si>
  <si>
    <t xml:space="preserve">CH4 (kg/d)</t>
  </si>
  <si>
    <t xml:space="preserve">CH4 CO2e (kg/d)</t>
  </si>
  <si>
    <t xml:space="preserve">FPCM (kg/d)</t>
  </si>
  <si>
    <t xml:space="preserve">GHG intensity (kg CO2e/kg FPCM)</t>
  </si>
  <si>
    <t xml:space="preserve">Feed cost ($/d)</t>
  </si>
  <si>
    <t xml:space="preserve">Feed cost ($/cwt milk)</t>
  </si>
  <si>
    <t xml:space="preserve">Milk revenue ($/d)</t>
  </si>
  <si>
    <t xml:space="preserve">IOFC ($/d)</t>
  </si>
  <si>
    <t xml:space="preserve">IOFC ($/cwt)</t>
  </si>
  <si>
    <t xml:space="preserve">Fixed cow assumptions (held constant across scenarios):</t>
  </si>
  <si>
    <t xml:space="preserve">Milk fat %</t>
  </si>
  <si>
    <t xml:space="preserve">Milk true protein %</t>
  </si>
  <si>
    <t xml:space="preserve">NEmaint coefficient (Mcal/kg^0.75)</t>
  </si>
  <si>
    <t xml:space="preserve">NEl per kg milk (Mcal/kg, ~3.5% fat basis)</t>
  </si>
  <si>
    <t xml:space="preserve">Summary — GHG Intensity vs. Farm Economics Trade-off</t>
  </si>
  <si>
    <t xml:space="preserve">GHG intensity
(kg CO2e/kg FPCM)</t>
  </si>
  <si>
    <t xml:space="preserve">IOFC
($/cwt)</t>
  </si>
  <si>
    <t xml:space="preserve">Feed cost
($/cwt)</t>
  </si>
  <si>
    <t xml:space="preserve">Marginal cost of GHG reduction
($/cwt per kg CO2e/kg FPCM reduced, vs. lowest-GHG scenario)</t>
  </si>
  <si>
    <t xml:space="preserve">Reads as $/cwt of IOFC given up per unit of GHG intensity reduced, by choosing the lowest-GHG-intensity scenario instead of this one. Positive = the low-GHG scenario also costs money (a real mitigation cost). Negative = the low-GHG scenario is ALSO more profitable than this one (mitigation is 'free' or a net gain) - check which sign dominates the table; that sign is the paper's headline economic finding.</t>
  </si>
  <si>
    <t xml:space="preserve">Constrained Optimization — Cost of Dietary NDF vs. the Nutritionally Optimal Minimum</t>
  </si>
  <si>
    <t xml:space="preserve">Extends Liang, Rutherford &amp; Cabrera (2015, J. Dairy Sci. 98) 'optimal dairy farm management subject to greenhouse gas emissions constraints' to the fiber/hemicellulose mechanism. Diet NDF is swept from the rumen-safe biological/economic minimum (28% DM) up to the upper end of the plausible observed maximum (Mid-Atlantic, 37.2% DM), quantifying the IOFC and GHG cost of running at each commercial NDF range (37.2% DM). Uses the Niu et al. (2018) equation; each point is the true cost-minimizing diet at that NDF level (&gt;=2 forage sources required, rumen-health and acidosis-risk bounds enforced -- see Ingredients tab).</t>
  </si>
  <si>
    <t xml:space="preserve">Diet NDF floor
(%DM)</t>
  </si>
  <si>
    <t xml:space="preserve">Realized GHG intensity
(kg CO2e/kg FPCM)</t>
  </si>
  <si>
    <t xml:space="preserve">Hemicellulose
(%DM)</t>
  </si>
  <si>
    <t xml:space="preserve">Diet CP
(%DM)</t>
  </si>
  <si>
    <t xml:space="preserve">DMI
(kg/d)</t>
  </si>
  <si>
    <t xml:space="preserve">Alfalfa
share</t>
  </si>
  <si>
    <t xml:space="preserve">Corn silage
share</t>
  </si>
  <si>
    <t xml:space="preserve">Grass hay
share</t>
  </si>
  <si>
    <t xml:space="preserve">Corn grain
share</t>
  </si>
  <si>
    <t xml:space="preserve">SBM
share</t>
  </si>
  <si>
    <t xml:space="preserve">Feasible?</t>
  </si>
  <si>
    <t xml:space="preserve">Yes</t>
  </si>
  <si>
    <t xml:space="preserve">Nutritionally optimal minimum (28% NDF): GHG = 0.2450 kg CO2e/kg FPCM, IOFC = $14.64/cwt  |  At the upper end of the plausible commercial NDF range (37.2% NDF): GHG = 0.2599, IOFC = $14.10/cwt  |  Cost of running at this upper range vs. optimum: $0.53/cwt IOFC, +6.1% GHG intensity</t>
  </si>
  <si>
    <t xml:space="preserve">CAVEAT: at NDF floors up to ~32%, corn silage sits at its diversification cap (45% of diet DM) with grass hay filling the remainder of the forage requirement; alfalfa does not enter any optimal solution on this frontier under current ARMS-calibrated pricing (Ingredients tab) -- validate against field experience. All solutions enforce &gt;=2 forage sources, a forage-sourced (physically effective) NDF floor of 20% diet DM, and ingredient inclusion caps to avoid SARA-risk corner solutions.</t>
  </si>
  <si>
    <t xml:space="preserve">Model Validation &amp; Sensitivity Analysis</t>
  </si>
  <si>
    <t xml:space="preserve">Closes four gaps identified before Methods drafting: external validation, price sensitivity, alfalfa-exclusion robustness, and the fixed-milk-composition assumption.</t>
  </si>
  <si>
    <t xml:space="preserve">1. External Validation Against Published Benchmarks</t>
  </si>
  <si>
    <t xml:space="preserve">Model quantity</t>
  </si>
  <si>
    <t xml:space="preserve">Model range</t>
  </si>
  <si>
    <t xml:space="preserve">Published benchmark</t>
  </si>
  <si>
    <t xml:space="preserve">Source</t>
  </si>
  <si>
    <t xml:space="preserve">Dietary NDF floor</t>
  </si>
  <si>
    <t xml:space="preserve">28.0% DM</t>
  </si>
  <si>
    <t xml:space="preserve">Min. 25-30% DM for high producers (lower end OK if forage &gt;=75% of NDF)</t>
  </si>
  <si>
    <t xml:space="preserve">NASEM (2021) via MSD Veterinary Manual, Nutritional Requirements of Dairy Cattle</t>
  </si>
  <si>
    <t xml:space="preserve">Forage-sourced (physically effective) NDF floor</t>
  </si>
  <si>
    <t xml:space="preserve">20.0% DM</t>
  </si>
  <si>
    <t xml:space="preserve">Forage NDF &gt;= 19-21% DM</t>
  </si>
  <si>
    <t xml:space="preserve">NASEM (2021)-based TMR formulation guidance (Cattle Daily / extension TMR guides)</t>
  </si>
  <si>
    <t xml:space="preserve">Diet NDF range across frontier</t>
  </si>
  <si>
    <t xml:space="preserve">28.0-37.2% DM</t>
  </si>
  <si>
    <t xml:space="preserve">34.1 +/- 4.6% DM (mean +/- SD, large multi-study dataset)</t>
  </si>
  <si>
    <t xml:space="preserve">NASEM, Nutrient Requirements of Dairy Cattle, 'Dry Matter Intake' chapter (NCBI Bookshelf NBK600610)</t>
  </si>
  <si>
    <t xml:space="preserve">Dietary CP</t>
  </si>
  <si>
    <t xml:space="preserve">16.0-16.5% DM (at LP floor)</t>
  </si>
  <si>
    <t xml:space="preserve">17.8 +/- 1.6% DM</t>
  </si>
  <si>
    <t xml:space="preserve">Same NASEM Bookshelf dataset -- model sits ~1 SD low; protein-cost-minimizing corner solution, noted as a limitation</t>
  </si>
  <si>
    <t xml:space="preserve">DMI</t>
  </si>
  <si>
    <t xml:space="preserve">22.2-24.8 kg/d</t>
  </si>
  <si>
    <t xml:space="preserve">23.0 +/- 2.8 kg/d</t>
  </si>
  <si>
    <t xml:space="preserve">Same NASEM Bookshelf dataset</t>
  </si>
  <si>
    <t xml:space="preserve">Body weight</t>
  </si>
  <si>
    <t xml:space="preserve">650 kg (fixed input)</t>
  </si>
  <si>
    <t xml:space="preserve">643 +/- 59 kg</t>
  </si>
  <si>
    <t xml:space="preserve">Real-world diet structure check</t>
  </si>
  <si>
    <t xml:space="preserve">Optimizer selects only 2 of 5 forage/ SBM/corn ingredients per point</t>
  </si>
  <si>
    <t xml:space="preserve">Example commercial TMR: 37% alfalfa hay + 19% corn silage + 14% corn grain + 30% concentrate mix (i.e., real diets commonly blend 2+ forages incl. alfalfa)</t>
  </si>
  <si>
    <t xml:space="preserve">USPTO-filed ruminant feed additive trial documentation, lactating Holstein TMR example</t>
  </si>
  <si>
    <t xml:space="preserve">VERDICT: model DMI, BW, and NDF range match published benchmarks closely. CP sits modestly below average (cost-minimizing artifact). The forage-diversity check is the one genuine open flag -- see Section 3.</t>
  </si>
  <si>
    <t xml:space="preserve">2. Price Sensitivity (Tornado): Robustness of the Headline Finding</t>
  </si>
  <si>
    <t xml:space="preserve">Baseline headline finding: $0.53/cwt IOFC cost and 6.1% higher GHG intensity when running at the the upper end of the plausible commercial NDF range (37.2% NDF) vs. the nutritional optimum (28% NDF).</t>
  </si>
  <si>
    <t xml:space="preserve">Input perturbed (+/-20%, milk price +/-10%)</t>
  </si>
  <si>
    <t xml:space="preserve">IOFC gap at -X%</t>
  </si>
  <si>
    <t xml:space="preserve">IOFC gap at +X%</t>
  </si>
  <si>
    <t xml:space="preserve">Alfalfa enters optimum at either extreme?</t>
  </si>
  <si>
    <t xml:space="preserve">Corn silage price</t>
  </si>
  <si>
    <t xml:space="preserve">$0.67/cwt</t>
  </si>
  <si>
    <t xml:space="preserve">$0.40/cwt</t>
  </si>
  <si>
    <t xml:space="preserve">No</t>
  </si>
  <si>
    <t xml:space="preserve">Alfalfa price</t>
  </si>
  <si>
    <t xml:space="preserve">$0.53/cwt</t>
  </si>
  <si>
    <t xml:space="preserve">Grass hay price</t>
  </si>
  <si>
    <t xml:space="preserve">$0.18/cwt</t>
  </si>
  <si>
    <t xml:space="preserve">$0.88/cwt</t>
  </si>
  <si>
    <t xml:space="preserve">Corn grain price</t>
  </si>
  <si>
    <t xml:space="preserve">$0.63/cwt</t>
  </si>
  <si>
    <t xml:space="preserve">$0.43/cwt</t>
  </si>
  <si>
    <t xml:space="preserve">Soybean meal price</t>
  </si>
  <si>
    <t xml:space="preserve">$0.54/cwt</t>
  </si>
  <si>
    <t xml:space="preserve">$0.52/cwt</t>
  </si>
  <si>
    <t xml:space="preserve">Milk price</t>
  </si>
  <si>
    <t xml:space="preserve">VERDICT: the DIRECTION of the finding (higher dietary NDF costs money and GHG) is robust to all tested perturbations. The MAGNITUDE is sensitive, particularly to grass hay price ($0.18-$0.88/cwt range) -- report the baseline as a point estimate with this range disclosed, not as a precise figure.</t>
  </si>
  <si>
    <t xml:space="preserve">3. Why Alfalfa Never Enters the Optimum, and What It Costs to Force It In</t>
  </si>
  <si>
    <t xml:space="preserve">Alfalfa was tested at -20% price and still did not enter any optimal solution -- this is a structural result of the 4-attribute (NDF/ADF/CP/NEL) ingredient model, not a fragile price artifact: corn silage + soybean meal replicates alfalfa's NDF/CP/NEL profile more cheaply. Forcing a realistic minimum alfalfa inclusion:</t>
  </si>
  <si>
    <t xml:space="preserve">Minimum alfalfa share imposed</t>
  </si>
  <si>
    <t xml:space="preserve">Resulting IOFC ($/cwt)</t>
  </si>
  <si>
    <t xml:space="preserve">Cost vs. unconstrained optimum ($/cwt)</t>
  </si>
  <si>
    <t xml:space="preserve">0% (unconstrained)</t>
  </si>
  <si>
    <t xml:space="preserve">$14.64</t>
  </si>
  <si>
    <t xml:space="preserve">$0.00</t>
  </si>
  <si>
    <t xml:space="preserve">10%</t>
  </si>
  <si>
    <t xml:space="preserve">$13.91</t>
  </si>
  <si>
    <t xml:space="preserve">$0.73</t>
  </si>
  <si>
    <t xml:space="preserve">15% (typical industry minimum)</t>
  </si>
  <si>
    <t xml:space="preserve">$13.50</t>
  </si>
  <si>
    <t xml:space="preserve">$1.14</t>
  </si>
  <si>
    <t xml:space="preserve">20%</t>
  </si>
  <si>
    <t xml:space="preserve">$13.08</t>
  </si>
  <si>
    <t xml:space="preserve">$1.56</t>
  </si>
  <si>
    <t xml:space="preserve">VERDICT: alfalfa's exclusion should be reported as a genuine, price-robust model finding, with an explicit limitation that alfalfa's non-nutrient contributions (rumen buffering, palatability, particle-size/chewing stimulation, agronomic risk diversification) are not captured by the 4-attribute ingredient model -- the ~$1.14/cwt cost of a 15% minimum inclusion can be reported as the model's estimate of that unmodeled value.</t>
  </si>
  <si>
    <t xml:space="preserve">4. Fixed Milk Yield/Composition Across Diets -- Literature-Backed Limitation</t>
  </si>
  <si>
    <t xml:space="preserve">Published research shows dietary NDF is not neutral to milk yield or composition: increasing dietary NDF is</t>
  </si>
  <si>
    <t xml:space="preserve">associated with LOWER milk yield and milk protein %, but HIGHER milk fat % (Ranathunga et al.; peak-lactation NDF-titration</t>
  </si>
  <si>
    <t xml:space="preserve">studies, PMC10525722). Fiber:starch ratio also positively affects milk fat % via altered ruminal VFA profile</t>
  </si>
  <si>
    <t xml:space="preserve">(acetate:propionate) (Ipharraguerre &amp; Clark framework; cited fiber:starch digestibility trials).</t>
  </si>
  <si>
    <t xml:space="preserve">This model holds milk yield, fat%, and protein% constant across all diet/NDF scenarios by design, to isolate the</t>
  </si>
  <si>
    <t xml:space="preserve">fiber-cost-emission relationship from confounded production responses (stated in README). Given the literature above,</t>
  </si>
  <si>
    <t xml:space="preserve">this is a conservative simplification whose net direction on FPCM and IOFC is NOT unambiguous: higher-NDF diets in</t>
  </si>
  <si>
    <t xml:space="preserve">reality would somewhat raise milk fat% (raising FPCM, partly offsetting IOFC loss) while lowering milk yield and</t>
  </si>
  <si>
    <t xml:space="preserve">protein% (lowering FPCM, partly reinforcing IOFC loss). The two effects partially oppose each other on FPCM and</t>
  </si>
  <si>
    <t xml:space="preserve">were not modeled quantitatively here. MUST be stated explicitly as a limitation in Discussion, with a call for</t>
  </si>
  <si>
    <t xml:space="preserve">follow-up work coupling this cost-minimization framework to a validated milk-yield/composition response function</t>
  </si>
  <si>
    <t xml:space="preserve">(e.g., NASEM (2021) production equations) as a natural extension.</t>
  </si>
  <si>
    <t xml:space="preserve">Robustness Check: Does a Broader Ingredient Library Change the Headline Finding?</t>
  </si>
  <si>
    <t xml:space="preserve">Adds DDGS and soybean hulls to the 5-ingredient library (Ingredients tab) and re-solves the optimization with an NDF CEILING (not floor) swept from 30.0% to 41.7% DM -- the unconstrained economic optimum under this 7-ingredient library, since soybean hulls' cheap, high-NDF, highly digestible fiber shifts the cost-minimizing diet to a much higher crude-NDF composition than the primary 5-ingredient analysis. Directly addresses the reviewer critique that a 5-ingredient library does not reflect commercial U.S. byproduct feeding practice.</t>
  </si>
  <si>
    <t xml:space="preserve">NDF ceiling,
%DM</t>
  </si>
  <si>
    <t xml:space="preserve">GHG intensity,
kg CO2e/kg FPCM</t>
  </si>
  <si>
    <t xml:space="preserve">IOFC,
$/cwt</t>
  </si>
  <si>
    <t xml:space="preserve">Corn silage,
%</t>
  </si>
  <si>
    <t xml:space="preserve">Corn grain,
%</t>
  </si>
  <si>
    <t xml:space="preserve">SBM,
%</t>
  </si>
  <si>
    <t xml:space="preserve">DDGS,
%</t>
  </si>
  <si>
    <t xml:space="preserve">Soybean hulls,
%</t>
  </si>
  <si>
    <t xml:space="preserve">Alfalfa &amp; grass hay,
%</t>
  </si>
  <si>
    <t xml:space="preserve">Primary 5-ingredient model (Table 2/Results sheet), comparable NDF range 28.0-37.2%: IOFC gap = $0.53/cwt. This 7-ingredient robustness check, NDF range 30.0-41.7%: IOFC gap = $0.05/cwt -- roughly a 10-fold reduction in the economic magnitude of the fiber-emission trade-off, though its biological direction (higher NDF -&gt; higher GHG) is unchanged.</t>
  </si>
  <si>
    <t xml:space="preserve">Note: neither alfalfa haylage nor grass hay enters any solution on this 7-ingredient frontier -- reinforcing, rather than reversing, the primary analysis's finding that a transparent attribute-based optimizer does not select alfalfa once cheaper substitutes for its modeled attributes (NDF, ADF, CP, NEL) are available.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</si>
</sst>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0.00"/>
    <numFmt numFmtId="167" formatCode="\$#,##0"/>
    <numFmt numFmtId="168" formatCode="\$0.000"/>
    <numFmt numFmtId="169" formatCode="\$0.00"/>
    <numFmt numFmtId="170" formatCode="0%"/>
    <numFmt numFmtId="171" formatCode="0.0"/>
    <numFmt numFmtId="172" formatCode="0.000"/>
    <numFmt numFmtId="173" formatCode="0.0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name val="Arial"/>
      <family val="0"/>
      <charset val="1"/>
    </font>
    <font>
      <sz val="9"/>
      <name val="Arial"/>
      <family val="0"/>
      <charset val="1"/>
    </font>
    <font>
      <b val="true"/>
      <i val="true"/>
      <sz val="11"/>
      <name val="Arial"/>
      <family val="0"/>
      <charset val="1"/>
    </font>
    <font>
      <i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7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3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 of Dietary NDF: IOFC vs. GHG Emission Intensity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"Cost-minimizing diet at each dietary NDF level"</c:f>
              <c:strCache>
                <c:ptCount val="1"/>
                <c:pt idx="0">
                  <c:v>Cost-minimizing diet at each dietary NDF level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Optimization!$B$5:$B$13</c:f>
              <c:numCache>
                <c:formatCode>0.000</c:formatCode>
                <c:ptCount val="9"/>
                <c:pt idx="0">
                  <c:v>0.245038654948231</c:v>
                </c:pt>
                <c:pt idx="1">
                  <c:v>0.248269235088756</c:v>
                </c:pt>
                <c:pt idx="2">
                  <c:v>0.25149981522931</c:v>
                </c:pt>
                <c:pt idx="3">
                  <c:v>0.251822873243335</c:v>
                </c:pt>
                <c:pt idx="4">
                  <c:v>0.254730395369822</c:v>
                </c:pt>
                <c:pt idx="5">
                  <c:v>0.256345685440115</c:v>
                </c:pt>
                <c:pt idx="6">
                  <c:v>0.257960975510387</c:v>
                </c:pt>
                <c:pt idx="7">
                  <c:v>0.259576265580661</c:v>
                </c:pt>
                <c:pt idx="8">
                  <c:v>0.259899323594707</c:v>
                </c:pt>
              </c:numCache>
            </c:numRef>
          </c:xVal>
          <c:yVal>
            <c:numRef>
              <c:f>Optimization!$C$5:$C$13</c:f>
              <c:numCache>
                <c:formatCode>\$0.00</c:formatCode>
                <c:ptCount val="9"/>
                <c:pt idx="0">
                  <c:v>14.6359040083708</c:v>
                </c:pt>
                <c:pt idx="1">
                  <c:v>14.5628179908931</c:v>
                </c:pt>
                <c:pt idx="2">
                  <c:v>14.4872000843767</c:v>
                </c:pt>
                <c:pt idx="3">
                  <c:v>14.4794939657186</c:v>
                </c:pt>
                <c:pt idx="4">
                  <c:v>14.4089164029521</c:v>
                </c:pt>
                <c:pt idx="5">
                  <c:v>14.3562265784161</c:v>
                </c:pt>
                <c:pt idx="6">
                  <c:v>14.2443530262873</c:v>
                </c:pt>
                <c:pt idx="7">
                  <c:v>14.1285670802385</c:v>
                </c:pt>
                <c:pt idx="8">
                  <c:v>14.1049222797977</c:v>
                </c:pt>
              </c:numCache>
            </c:numRef>
          </c:yVal>
          <c:smooth val="1"/>
        </c:ser>
        <c:axId val="47977338"/>
        <c:axId val="42511112"/>
      </c:scatterChart>
      <c:valAx>
        <c:axId val="4797733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GHG intensity (kg CO2e / kg FPCM)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511112"/>
        <c:crosses val="autoZero"/>
        <c:crossBetween val="midCat"/>
      </c:valAx>
      <c:valAx>
        <c:axId val="425111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IOFC ($/cwt)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97733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7-Ingredient Robustness Check: IOFC vs. GHG Intensity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"7-ingredient frontier (DDGS + soybean hulls added)"</c:f>
              <c:strCache>
                <c:ptCount val="1"/>
                <c:pt idx="0">
                  <c:v>7-ingredient frontier (DDGS + soybean hulls added)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'Ingredient Library Robustness'!$B$5:$B$11</c:f>
              <c:numCache>
                <c:formatCode>0.0000</c:formatCode>
                <c:ptCount val="7"/>
                <c:pt idx="0">
                  <c:v>0.2483</c:v>
                </c:pt>
                <c:pt idx="1">
                  <c:v>0.2515</c:v>
                </c:pt>
                <c:pt idx="2">
                  <c:v>0.2547</c:v>
                </c:pt>
                <c:pt idx="3">
                  <c:v>0.258</c:v>
                </c:pt>
                <c:pt idx="4">
                  <c:v>0.2612</c:v>
                </c:pt>
                <c:pt idx="5">
                  <c:v>0.2617</c:v>
                </c:pt>
                <c:pt idx="6">
                  <c:v>0.2617</c:v>
                </c:pt>
              </c:numCache>
            </c:numRef>
          </c:xVal>
          <c:yVal>
            <c:numRef>
              <c:f>'Ingredient Library Robustness'!$C$5:$C$11</c:f>
              <c:numCache>
                <c:formatCode>\$0.00</c:formatCode>
                <c:ptCount val="7"/>
                <c:pt idx="0">
                  <c:v>15.32</c:v>
                </c:pt>
                <c:pt idx="1">
                  <c:v>15.33</c:v>
                </c:pt>
                <c:pt idx="2">
                  <c:v>15.35</c:v>
                </c:pt>
                <c:pt idx="3">
                  <c:v>15.36</c:v>
                </c:pt>
                <c:pt idx="4">
                  <c:v>15.37</c:v>
                </c:pt>
                <c:pt idx="5">
                  <c:v>15.37</c:v>
                </c:pt>
                <c:pt idx="6">
                  <c:v>15.37</c:v>
                </c:pt>
              </c:numCache>
            </c:numRef>
          </c:yVal>
          <c:smooth val="1"/>
        </c:ser>
        <c:axId val="32829958"/>
        <c:axId val="13680137"/>
      </c:scatterChart>
      <c:valAx>
        <c:axId val="3282995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GHG intensity (kg CO2e / kg FPCM)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680137"/>
        <c:crosses val="autoZero"/>
        <c:crossBetween val="midCat"/>
      </c:valAx>
      <c:valAx>
        <c:axId val="136801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IOFC ($/cwt)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82995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176040</xdr:rowOff>
    </xdr:from>
    <xdr:to>
      <xdr:col>6</xdr:col>
      <xdr:colOff>825120</xdr:colOff>
      <xdr:row>34</xdr:row>
      <xdr:rowOff>176400</xdr:rowOff>
    </xdr:to>
    <xdr:graphicFrame>
      <xdr:nvGraphicFramePr>
        <xdr:cNvPr id="0" name="Chart 1"/>
        <xdr:cNvGraphicFramePr/>
      </xdr:nvGraphicFramePr>
      <xdr:xfrm>
        <a:off x="0" y="3690720"/>
        <a:ext cx="575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82440</xdr:rowOff>
    </xdr:from>
    <xdr:to>
      <xdr:col>6</xdr:col>
      <xdr:colOff>542880</xdr:colOff>
      <xdr:row>32</xdr:row>
      <xdr:rowOff>82800</xdr:rowOff>
    </xdr:to>
    <xdr:graphicFrame>
      <xdr:nvGraphicFramePr>
        <xdr:cNvPr id="1" name="Chart 1"/>
        <xdr:cNvGraphicFramePr/>
      </xdr:nvGraphicFramePr>
      <xdr:xfrm>
        <a:off x="0" y="4254480"/>
        <a:ext cx="575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5"/>
  </cols>
  <sheetData>
    <row r="1" customFormat="false" ht="17.25" hidden="false" customHeight="true" outlineLevel="0" collapsed="false">
      <c r="A1" s="2" t="s">
        <v>0</v>
      </c>
    </row>
    <row r="2" customFormat="false" ht="13.5" hidden="false" customHeight="true" outlineLevel="0" collapsed="false">
      <c r="A2" s="3"/>
    </row>
    <row r="3" customFormat="false" ht="13.5" hidden="false" customHeight="true" outlineLevel="0" collapsed="false">
      <c r="A3" s="4" t="s">
        <v>1</v>
      </c>
    </row>
    <row r="4" customFormat="false" ht="13.5" hidden="false" customHeight="true" outlineLevel="0" collapsed="false">
      <c r="A4" s="3" t="s">
        <v>2</v>
      </c>
    </row>
    <row r="5" customFormat="false" ht="13.5" hidden="false" customHeight="true" outlineLevel="0" collapsed="false">
      <c r="A5" s="3" t="s">
        <v>3</v>
      </c>
    </row>
    <row r="6" customFormat="false" ht="13.5" hidden="false" customHeight="true" outlineLevel="0" collapsed="false">
      <c r="A6" s="3" t="s">
        <v>4</v>
      </c>
    </row>
    <row r="7" customFormat="false" ht="13.5" hidden="false" customHeight="true" outlineLevel="0" collapsed="false">
      <c r="A7" s="3" t="s">
        <v>5</v>
      </c>
    </row>
    <row r="8" customFormat="false" ht="13.5" hidden="false" customHeight="true" outlineLevel="0" collapsed="false">
      <c r="A8" s="3" t="s">
        <v>6</v>
      </c>
    </row>
    <row r="9" customFormat="false" ht="13.5" hidden="false" customHeight="true" outlineLevel="0" collapsed="false">
      <c r="A9" s="3"/>
    </row>
    <row r="10" customFormat="false" ht="13.5" hidden="false" customHeight="true" outlineLevel="0" collapsed="false">
      <c r="A10" s="4" t="s">
        <v>7</v>
      </c>
    </row>
    <row r="11" customFormat="false" ht="13.5" hidden="false" customHeight="true" outlineLevel="0" collapsed="false">
      <c r="A11" s="3" t="s">
        <v>8</v>
      </c>
    </row>
    <row r="12" customFormat="false" ht="13.5" hidden="false" customHeight="true" outlineLevel="0" collapsed="false">
      <c r="A12" s="3" t="s">
        <v>9</v>
      </c>
    </row>
    <row r="13" customFormat="false" ht="13.5" hidden="false" customHeight="true" outlineLevel="0" collapsed="false">
      <c r="A13" s="3" t="s">
        <v>10</v>
      </c>
    </row>
    <row r="14" customFormat="false" ht="13.5" hidden="false" customHeight="true" outlineLevel="0" collapsed="false">
      <c r="A14" s="3" t="s">
        <v>11</v>
      </c>
    </row>
    <row r="15" customFormat="false" ht="13.5" hidden="false" customHeight="true" outlineLevel="0" collapsed="false">
      <c r="A15" s="3"/>
    </row>
    <row r="16" customFormat="false" ht="13.5" hidden="false" customHeight="true" outlineLevel="0" collapsed="false">
      <c r="A16" s="4" t="s">
        <v>12</v>
      </c>
    </row>
    <row r="17" customFormat="false" ht="13.5" hidden="false" customHeight="true" outlineLevel="0" collapsed="false">
      <c r="A17" s="3" t="s">
        <v>13</v>
      </c>
    </row>
    <row r="18" customFormat="false" ht="13.5" hidden="false" customHeight="true" outlineLevel="0" collapsed="false">
      <c r="A18" s="3" t="s">
        <v>14</v>
      </c>
    </row>
    <row r="19" customFormat="false" ht="13.5" hidden="false" customHeight="true" outlineLevel="0" collapsed="false">
      <c r="A19" s="3" t="s">
        <v>15</v>
      </c>
    </row>
    <row r="20" customFormat="false" ht="13.5" hidden="false" customHeight="true" outlineLevel="0" collapsed="false">
      <c r="A20" s="3"/>
    </row>
    <row r="21" customFormat="false" ht="13.5" hidden="false" customHeight="true" outlineLevel="0" collapsed="false">
      <c r="A21" s="4" t="s">
        <v>16</v>
      </c>
    </row>
    <row r="22" customFormat="false" ht="13.5" hidden="false" customHeight="true" outlineLevel="0" collapsed="false">
      <c r="A22" s="3" t="s">
        <v>17</v>
      </c>
    </row>
    <row r="23" customFormat="false" ht="13.5" hidden="false" customHeight="true" outlineLevel="0" collapsed="false">
      <c r="A23" s="3" t="s">
        <v>18</v>
      </c>
    </row>
    <row r="24" customFormat="false" ht="13.5" hidden="false" customHeight="true" outlineLevel="0" collapsed="false">
      <c r="A24" s="3" t="s">
        <v>19</v>
      </c>
    </row>
    <row r="25" customFormat="false" ht="13.5" hidden="false" customHeight="true" outlineLevel="0" collapsed="false">
      <c r="A25" s="3" t="s">
        <v>20</v>
      </c>
    </row>
    <row r="26" customFormat="false" ht="13.5" hidden="false" customHeight="true" outlineLevel="0" collapsed="false">
      <c r="A26" s="3" t="s">
        <v>21</v>
      </c>
    </row>
    <row r="27" customFormat="false" ht="13.5" hidden="false" customHeight="true" outlineLevel="0" collapsed="false">
      <c r="A27" s="3" t="s">
        <v>22</v>
      </c>
    </row>
    <row r="28" customFormat="false" ht="13.5" hidden="false" customHeight="true" outlineLevel="0" collapsed="false">
      <c r="A28" s="3" t="s">
        <v>23</v>
      </c>
    </row>
    <row r="29" customFormat="false" ht="13.5" hidden="false" customHeight="true" outlineLevel="0" collapsed="false">
      <c r="A29" s="3" t="s">
        <v>24</v>
      </c>
    </row>
    <row r="30" customFormat="false" ht="13.5" hidden="false" customHeight="true" outlineLevel="0" collapsed="false">
      <c r="A30" s="3" t="s">
        <v>25</v>
      </c>
    </row>
    <row r="31" customFormat="false" ht="13.5" hidden="false" customHeight="true" outlineLevel="0" collapsed="false">
      <c r="A31" s="3" t="s">
        <v>26</v>
      </c>
    </row>
    <row r="32" customFormat="false" ht="13.5" hidden="false" customHeight="true" outlineLevel="0" collapsed="false">
      <c r="A32" s="3" t="s">
        <v>27</v>
      </c>
    </row>
    <row r="33" customFormat="false" ht="13.5" hidden="false" customHeight="true" outlineLevel="0" collapsed="false">
      <c r="A33" s="3" t="s">
        <v>28</v>
      </c>
    </row>
    <row r="34" customFormat="false" ht="13.5" hidden="false" customHeight="true" outlineLevel="0" collapsed="false">
      <c r="A34" s="3" t="s">
        <v>29</v>
      </c>
    </row>
    <row r="35" customFormat="false" ht="13.5" hidden="false" customHeight="true" outlineLevel="0" collapsed="false">
      <c r="A35" s="3"/>
    </row>
    <row r="36" customFormat="false" ht="13.5" hidden="false" customHeight="true" outlineLevel="0" collapsed="false">
      <c r="A36" s="4" t="s">
        <v>30</v>
      </c>
    </row>
    <row r="37" customFormat="false" ht="13.5" hidden="false" customHeight="true" outlineLevel="0" collapsed="false">
      <c r="A37" s="3" t="s">
        <v>31</v>
      </c>
    </row>
    <row r="38" customFormat="false" ht="13.5" hidden="false" customHeight="true" outlineLevel="0" collapsed="false">
      <c r="A38" s="3" t="s">
        <v>32</v>
      </c>
    </row>
    <row r="39" customFormat="false" ht="13.5" hidden="false" customHeight="true" outlineLevel="0" collapsed="false">
      <c r="A39" s="3" t="s">
        <v>33</v>
      </c>
    </row>
    <row r="40" customFormat="false" ht="13.5" hidden="false" customHeight="true" outlineLevel="0" collapsed="false">
      <c r="A40" s="3" t="s">
        <v>34</v>
      </c>
    </row>
    <row r="41" customFormat="false" ht="13.5" hidden="false" customHeight="true" outlineLevel="0" collapsed="false">
      <c r="A41" s="3"/>
    </row>
    <row r="42" customFormat="false" ht="13.5" hidden="false" customHeight="true" outlineLevel="0" collapsed="false">
      <c r="A42" s="4" t="s">
        <v>35</v>
      </c>
    </row>
    <row r="43" customFormat="false" ht="13.5" hidden="false" customHeight="true" outlineLevel="0" collapsed="false">
      <c r="A43" s="3" t="s">
        <v>36</v>
      </c>
    </row>
    <row r="44" customFormat="false" ht="13.5" hidden="false" customHeight="true" outlineLevel="0" collapsed="false">
      <c r="A44" s="3" t="s">
        <v>37</v>
      </c>
    </row>
    <row r="45" customFormat="false" ht="13.5" hidden="false" customHeight="true" outlineLevel="0" collapsed="false">
      <c r="A45" s="3" t="s">
        <v>38</v>
      </c>
    </row>
    <row r="46" customFormat="false" ht="13.5" hidden="false" customHeight="true" outlineLevel="0" collapsed="false">
      <c r="A46" s="3" t="s">
        <v>39</v>
      </c>
    </row>
    <row r="47" customFormat="false" ht="13.5" hidden="false" customHeight="true" outlineLevel="0" collapsed="false">
      <c r="A47" s="3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5" min="2" style="1" width="10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0" min="10" style="1" width="40"/>
  </cols>
  <sheetData>
    <row r="1" customFormat="false" ht="33.75" hidden="false" customHeight="true" outlineLevel="0" collapsed="false">
      <c r="A1" s="5" t="s">
        <v>41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46</v>
      </c>
      <c r="G1" s="5" t="s">
        <v>47</v>
      </c>
      <c r="H1" s="5" t="s">
        <v>48</v>
      </c>
      <c r="I1" s="5" t="s">
        <v>49</v>
      </c>
      <c r="J1" s="5" t="s">
        <v>50</v>
      </c>
    </row>
    <row r="2" customFormat="false" ht="32.25" hidden="false" customHeight="true" outlineLevel="0" collapsed="false">
      <c r="A2" s="6" t="s">
        <v>51</v>
      </c>
      <c r="B2" s="7" t="n">
        <v>0.45</v>
      </c>
      <c r="C2" s="7" t="n">
        <v>0.4</v>
      </c>
      <c r="D2" s="7" t="n">
        <v>0.32</v>
      </c>
      <c r="E2" s="7" t="n">
        <v>0.2</v>
      </c>
      <c r="F2" s="8" t="n">
        <v>1.3</v>
      </c>
      <c r="G2" s="9" t="n">
        <v>195</v>
      </c>
      <c r="H2" s="10" t="n">
        <f aca="false">G2/907.185/B2</f>
        <v>0.477668097833775</v>
      </c>
      <c r="I2" s="11" t="n">
        <f aca="false">C2-D2</f>
        <v>0.08</v>
      </c>
      <c r="J2" s="12" t="s">
        <v>52</v>
      </c>
    </row>
    <row r="3" customFormat="false" ht="53.25" hidden="false" customHeight="true" outlineLevel="0" collapsed="false">
      <c r="A3" s="6" t="s">
        <v>53</v>
      </c>
      <c r="B3" s="7" t="n">
        <v>0.35</v>
      </c>
      <c r="C3" s="7" t="n">
        <v>0.45</v>
      </c>
      <c r="D3" s="7" t="n">
        <v>0.26</v>
      </c>
      <c r="E3" s="7" t="n">
        <v>0.08</v>
      </c>
      <c r="F3" s="8" t="n">
        <v>1.55</v>
      </c>
      <c r="G3" s="9" t="n">
        <v>52</v>
      </c>
      <c r="H3" s="10" t="n">
        <f aca="false">G3/907.185/B3</f>
        <v>0.163771919257294</v>
      </c>
      <c r="I3" s="11" t="n">
        <f aca="false">C3-D3</f>
        <v>0.19</v>
      </c>
      <c r="J3" s="12" t="s">
        <v>54</v>
      </c>
    </row>
    <row r="4" customFormat="false" ht="21.75" hidden="false" customHeight="true" outlineLevel="0" collapsed="false">
      <c r="A4" s="6" t="s">
        <v>55</v>
      </c>
      <c r="B4" s="7" t="n">
        <v>0.88</v>
      </c>
      <c r="C4" s="7" t="n">
        <v>0.58</v>
      </c>
      <c r="D4" s="7" t="n">
        <v>0.35</v>
      </c>
      <c r="E4" s="7" t="n">
        <v>0.11</v>
      </c>
      <c r="F4" s="8" t="n">
        <v>1.2</v>
      </c>
      <c r="G4" s="9" t="n">
        <v>145</v>
      </c>
      <c r="H4" s="10" t="n">
        <f aca="false">G4/907.185/B4</f>
        <v>0.181630788949032</v>
      </c>
      <c r="I4" s="11" t="n">
        <f aca="false">C4-D4</f>
        <v>0.23</v>
      </c>
      <c r="J4" s="12" t="s">
        <v>56</v>
      </c>
    </row>
    <row r="5" customFormat="false" ht="21.75" hidden="false" customHeight="true" outlineLevel="0" collapsed="false">
      <c r="A5" s="6" t="s">
        <v>57</v>
      </c>
      <c r="B5" s="7" t="n">
        <v>0.88</v>
      </c>
      <c r="C5" s="7" t="n">
        <v>0.09</v>
      </c>
      <c r="D5" s="7" t="n">
        <v>0.03</v>
      </c>
      <c r="E5" s="7" t="n">
        <v>0.09</v>
      </c>
      <c r="F5" s="8" t="n">
        <v>1.9</v>
      </c>
      <c r="G5" s="9" t="n">
        <v>155</v>
      </c>
      <c r="H5" s="10" t="n">
        <f aca="false">G5/907.185/B5</f>
        <v>0.194157050255861</v>
      </c>
      <c r="I5" s="11" t="n">
        <f aca="false">C5-D5</f>
        <v>0.06</v>
      </c>
      <c r="J5" s="12" t="s">
        <v>58</v>
      </c>
    </row>
    <row r="6" customFormat="false" ht="21.75" hidden="false" customHeight="true" outlineLevel="0" collapsed="false">
      <c r="A6" s="6" t="s">
        <v>59</v>
      </c>
      <c r="B6" s="7" t="n">
        <v>0.9</v>
      </c>
      <c r="C6" s="7" t="n">
        <v>0.08</v>
      </c>
      <c r="D6" s="7" t="n">
        <v>0.06</v>
      </c>
      <c r="E6" s="7" t="n">
        <v>0.48</v>
      </c>
      <c r="F6" s="8" t="n">
        <v>1.98</v>
      </c>
      <c r="G6" s="9" t="n">
        <v>305</v>
      </c>
      <c r="H6" s="10" t="n">
        <f aca="false">G6/907.185/B6</f>
        <v>0.373560948305901</v>
      </c>
      <c r="I6" s="11" t="n">
        <f aca="false">C6-D6</f>
        <v>0.02</v>
      </c>
      <c r="J6" s="12" t="s">
        <v>60</v>
      </c>
    </row>
    <row r="8" customFormat="false" ht="15" hidden="false" customHeight="true" outlineLevel="0" collapsed="false">
      <c r="A8" s="4" t="s">
        <v>61</v>
      </c>
      <c r="B8" s="13" t="n">
        <v>21</v>
      </c>
      <c r="C8" s="14" t="s">
        <v>62</v>
      </c>
    </row>
    <row r="10" customFormat="false" ht="15" hidden="false" customHeight="true" outlineLevel="0" collapsed="false">
      <c r="A10" s="4" t="s">
        <v>63</v>
      </c>
      <c r="B10" s="15" t="n">
        <v>55.65</v>
      </c>
      <c r="C10" s="14" t="s">
        <v>64</v>
      </c>
    </row>
    <row r="11" customFormat="false" ht="15" hidden="false" customHeight="true" outlineLevel="0" collapsed="false">
      <c r="A11" s="4" t="s">
        <v>65</v>
      </c>
      <c r="B11" s="15" t="n">
        <v>27.9</v>
      </c>
      <c r="C11" s="14" t="s">
        <v>66</v>
      </c>
    </row>
    <row r="12" customFormat="false" ht="15" hidden="false" customHeight="true" outlineLevel="0" collapsed="false">
      <c r="A12" s="4" t="s">
        <v>67</v>
      </c>
      <c r="B12" s="13" t="n">
        <v>0.55</v>
      </c>
      <c r="C12" s="14" t="s">
        <v>68</v>
      </c>
    </row>
    <row r="14" customFormat="false" ht="15" hidden="false" customHeight="true" outlineLevel="0" collapsed="false">
      <c r="A14" s="4" t="s">
        <v>69</v>
      </c>
    </row>
    <row r="15" customFormat="false" ht="15" hidden="false" customHeight="true" outlineLevel="0" collapsed="false">
      <c r="A15" s="16" t="s">
        <v>70</v>
      </c>
      <c r="B15" s="16"/>
      <c r="C15" s="16"/>
      <c r="D15" s="16"/>
      <c r="E15" s="16"/>
      <c r="F15" s="16"/>
      <c r="G15" s="16"/>
      <c r="H15" s="16"/>
      <c r="I15" s="16"/>
      <c r="J15" s="16"/>
    </row>
    <row r="16" customFormat="false" ht="15" hidden="false" customHeight="true" outlineLevel="0" collapsed="false">
      <c r="A16" s="16" t="s">
        <v>71</v>
      </c>
      <c r="B16" s="16"/>
      <c r="C16" s="16"/>
      <c r="D16" s="16"/>
      <c r="E16" s="16"/>
      <c r="F16" s="16"/>
      <c r="G16" s="16"/>
      <c r="H16" s="16"/>
      <c r="I16" s="16"/>
      <c r="J16" s="16"/>
    </row>
    <row r="17" customFormat="false" ht="15" hidden="false" customHeight="true" outlineLevel="0" collapsed="false">
      <c r="A17" s="16" t="s">
        <v>72</v>
      </c>
      <c r="B17" s="16"/>
      <c r="C17" s="16"/>
      <c r="D17" s="16"/>
      <c r="E17" s="16"/>
      <c r="F17" s="16"/>
      <c r="G17" s="16"/>
      <c r="H17" s="16"/>
      <c r="I17" s="16"/>
      <c r="J17" s="16"/>
    </row>
    <row r="18" customFormat="false" ht="15" hidden="false" customHeight="true" outlineLevel="0" collapsed="false">
      <c r="A18" s="16" t="s">
        <v>73</v>
      </c>
      <c r="B18" s="16"/>
      <c r="C18" s="16"/>
      <c r="D18" s="16"/>
      <c r="E18" s="16"/>
      <c r="F18" s="16"/>
      <c r="G18" s="16"/>
      <c r="H18" s="16"/>
      <c r="I18" s="16"/>
      <c r="J18" s="16"/>
    </row>
    <row r="19" customFormat="false" ht="15" hidden="false" customHeight="true" outlineLevel="0" collapsed="false">
      <c r="A19" s="16" t="s">
        <v>74</v>
      </c>
      <c r="B19" s="16"/>
      <c r="C19" s="16"/>
      <c r="D19" s="16"/>
      <c r="E19" s="16"/>
      <c r="F19" s="16"/>
      <c r="G19" s="16"/>
      <c r="H19" s="16"/>
      <c r="I19" s="16"/>
      <c r="J19" s="16"/>
    </row>
    <row r="20" customFormat="false" ht="15" hidden="false" customHeight="true" outlineLevel="0" collapsed="false">
      <c r="A20" s="16" t="s">
        <v>75</v>
      </c>
      <c r="B20" s="16"/>
      <c r="C20" s="16"/>
      <c r="D20" s="16"/>
      <c r="E20" s="16"/>
      <c r="F20" s="16"/>
      <c r="G20" s="16"/>
      <c r="H20" s="16"/>
      <c r="I20" s="16"/>
      <c r="J20" s="16"/>
    </row>
    <row r="22" customFormat="false" ht="15" hidden="false" customHeight="true" outlineLevel="0" collapsed="false">
      <c r="A22" s="17" t="s">
        <v>76</v>
      </c>
    </row>
    <row r="23" customFormat="false" ht="53.25" hidden="false" customHeight="true" outlineLevel="0" collapsed="false">
      <c r="A23" s="18" t="s">
        <v>77</v>
      </c>
      <c r="B23" s="7" t="n">
        <v>0.9</v>
      </c>
      <c r="C23" s="7" t="n">
        <v>0.35</v>
      </c>
      <c r="D23" s="7" t="n">
        <v>0.15</v>
      </c>
      <c r="E23" s="7" t="n">
        <v>0.3</v>
      </c>
      <c r="F23" s="8" t="n">
        <v>1.9</v>
      </c>
      <c r="G23" s="9" t="n">
        <v>150</v>
      </c>
      <c r="H23" s="10" t="n">
        <f aca="false">G23/907.185/B23</f>
        <v>0.183718499166837</v>
      </c>
      <c r="I23" s="11" t="n">
        <f aca="false">C23-D23</f>
        <v>0.2</v>
      </c>
      <c r="J23" s="12" t="s">
        <v>78</v>
      </c>
    </row>
    <row r="24" customFormat="false" ht="53.25" hidden="false" customHeight="true" outlineLevel="0" collapsed="false">
      <c r="A24" s="18" t="s">
        <v>79</v>
      </c>
      <c r="B24" s="7" t="n">
        <v>0.9</v>
      </c>
      <c r="C24" s="7" t="n">
        <v>0.67</v>
      </c>
      <c r="D24" s="7" t="n">
        <v>0.47</v>
      </c>
      <c r="E24" s="7" t="n">
        <v>0.12</v>
      </c>
      <c r="F24" s="8" t="n">
        <v>1.68</v>
      </c>
      <c r="G24" s="9" t="n">
        <v>140</v>
      </c>
      <c r="H24" s="10" t="n">
        <f aca="false">G24/907.185/B24</f>
        <v>0.171470599222381</v>
      </c>
      <c r="I24" s="11" t="n">
        <f aca="false">C24-D24</f>
        <v>0.2</v>
      </c>
      <c r="J24" s="12" t="s">
        <v>80</v>
      </c>
    </row>
  </sheetData>
  <mergeCells count="6">
    <mergeCell ref="A15:J15"/>
    <mergeCell ref="A16:J16"/>
    <mergeCell ref="A17:J17"/>
    <mergeCell ref="A18:J18"/>
    <mergeCell ref="A19:J19"/>
    <mergeCell ref="A20:J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4" min="3" style="1" width="14"/>
    <col collapsed="false" customWidth="true" hidden="false" outlineLevel="0" max="5" min="5" style="1" width="15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9" min="8" style="1" width="11"/>
    <col collapsed="false" customWidth="true" hidden="false" outlineLevel="0" max="10" min="10" style="1" width="14"/>
    <col collapsed="false" customWidth="true" hidden="false" outlineLevel="0" max="11" min="11" style="1" width="10"/>
    <col collapsed="false" customWidth="true" hidden="false" outlineLevel="0" max="12" min="12" style="1" width="13"/>
  </cols>
  <sheetData>
    <row r="1" customFormat="false" ht="43.5" hidden="false" customHeight="true" outlineLevel="0" collapsed="false">
      <c r="A1" s="5" t="s">
        <v>81</v>
      </c>
      <c r="B1" s="5" t="s">
        <v>82</v>
      </c>
      <c r="C1" s="5" t="s">
        <v>83</v>
      </c>
      <c r="D1" s="5" t="s">
        <v>84</v>
      </c>
      <c r="E1" s="5" t="s">
        <v>85</v>
      </c>
      <c r="F1" s="5" t="s">
        <v>86</v>
      </c>
      <c r="G1" s="5" t="s">
        <v>87</v>
      </c>
      <c r="H1" s="5" t="s">
        <v>88</v>
      </c>
      <c r="I1" s="5" t="s">
        <v>89</v>
      </c>
      <c r="J1" s="5" t="s">
        <v>90</v>
      </c>
      <c r="K1" s="5" t="s">
        <v>91</v>
      </c>
      <c r="L1" s="5" t="s">
        <v>92</v>
      </c>
    </row>
    <row r="2" customFormat="false" ht="15" hidden="false" customHeight="true" outlineLevel="0" collapsed="false">
      <c r="A2" s="19" t="s">
        <v>93</v>
      </c>
      <c r="B2" s="6" t="s">
        <v>51</v>
      </c>
      <c r="C2" s="19" t="s">
        <v>94</v>
      </c>
      <c r="D2" s="20" t="n">
        <v>0.45</v>
      </c>
      <c r="E2" s="21" t="n">
        <f aca="false">1-D2</f>
        <v>0.55</v>
      </c>
      <c r="F2" s="22" t="n">
        <v>0.8</v>
      </c>
      <c r="G2" s="21" t="n">
        <f aca="false">1-F2</f>
        <v>0.2</v>
      </c>
      <c r="H2" s="11" t="n">
        <f aca="false">D2*Ingredients!$C$2+E2*(F2*Ingredients!$C$5+G2*Ingredients!$C$6)</f>
        <v>0.2284</v>
      </c>
      <c r="I2" s="11" t="n">
        <f aca="false">D2*Ingredients!$D$2+E2*(F2*Ingredients!$D$5+G2*Ingredients!$D$6)</f>
        <v>0.1638</v>
      </c>
      <c r="J2" s="11" t="n">
        <f aca="false">H2-I2</f>
        <v>0.0646</v>
      </c>
      <c r="K2" s="11" t="n">
        <f aca="false">D2*Ingredients!$E$2+E2*(F2*Ingredients!$E$5+G2*Ingredients!$E$6)</f>
        <v>0.1824</v>
      </c>
      <c r="L2" s="23" t="n">
        <f aca="false">D2*Ingredients!$F$2+E2*(F2*Ingredients!$F$5+G2*Ingredients!$F$6)</f>
        <v>1.6388</v>
      </c>
    </row>
    <row r="3" customFormat="false" ht="15" hidden="false" customHeight="true" outlineLevel="0" collapsed="false">
      <c r="A3" s="19" t="s">
        <v>95</v>
      </c>
      <c r="B3" s="6" t="s">
        <v>51</v>
      </c>
      <c r="C3" s="19" t="s">
        <v>96</v>
      </c>
      <c r="D3" s="20" t="n">
        <v>0.5</v>
      </c>
      <c r="E3" s="21" t="n">
        <f aca="false">1-D3</f>
        <v>0.5</v>
      </c>
      <c r="F3" s="22" t="n">
        <v>0.8</v>
      </c>
      <c r="G3" s="21" t="n">
        <f aca="false">1-F3</f>
        <v>0.2</v>
      </c>
      <c r="H3" s="11" t="n">
        <f aca="false">D3*Ingredients!$C$2+E3*(F3*Ingredients!$C$5+G3*Ingredients!$C$6)</f>
        <v>0.244</v>
      </c>
      <c r="I3" s="11" t="n">
        <f aca="false">D3*Ingredients!$D$2+E3*(F3*Ingredients!$D$5+G3*Ingredients!$D$6)</f>
        <v>0.178</v>
      </c>
      <c r="J3" s="11" t="n">
        <f aca="false">H3-I3</f>
        <v>0.066</v>
      </c>
      <c r="K3" s="11" t="n">
        <f aca="false">D3*Ingredients!$E$2+E3*(F3*Ingredients!$E$5+G3*Ingredients!$E$6)</f>
        <v>0.184</v>
      </c>
      <c r="L3" s="23" t="n">
        <f aca="false">D3*Ingredients!$F$2+E3*(F3*Ingredients!$F$5+G3*Ingredients!$F$6)</f>
        <v>1.608</v>
      </c>
    </row>
    <row r="4" customFormat="false" ht="15" hidden="false" customHeight="true" outlineLevel="0" collapsed="false">
      <c r="A4" s="19" t="s">
        <v>97</v>
      </c>
      <c r="B4" s="6" t="s">
        <v>51</v>
      </c>
      <c r="C4" s="19" t="s">
        <v>98</v>
      </c>
      <c r="D4" s="20" t="n">
        <v>0.55</v>
      </c>
      <c r="E4" s="21" t="n">
        <f aca="false">1-D4</f>
        <v>0.45</v>
      </c>
      <c r="F4" s="22" t="n">
        <v>0.8</v>
      </c>
      <c r="G4" s="21" t="n">
        <f aca="false">1-F4</f>
        <v>0.2</v>
      </c>
      <c r="H4" s="11" t="n">
        <f aca="false">D4*Ingredients!$C$2+E4*(F4*Ingredients!$C$5+G4*Ingredients!$C$6)</f>
        <v>0.2596</v>
      </c>
      <c r="I4" s="11" t="n">
        <f aca="false">D4*Ingredients!$D$2+E4*(F4*Ingredients!$D$5+G4*Ingredients!$D$6)</f>
        <v>0.1922</v>
      </c>
      <c r="J4" s="11" t="n">
        <f aca="false">H4-I4</f>
        <v>0.0674</v>
      </c>
      <c r="K4" s="11" t="n">
        <f aca="false">D4*Ingredients!$E$2+E4*(F4*Ingredients!$E$5+G4*Ingredients!$E$6)</f>
        <v>0.1856</v>
      </c>
      <c r="L4" s="23" t="n">
        <f aca="false">D4*Ingredients!$F$2+E4*(F4*Ingredients!$F$5+G4*Ingredients!$F$6)</f>
        <v>1.5772</v>
      </c>
    </row>
    <row r="5" customFormat="false" ht="15" hidden="false" customHeight="true" outlineLevel="0" collapsed="false">
      <c r="A5" s="19" t="s">
        <v>99</v>
      </c>
      <c r="B5" s="6" t="s">
        <v>53</v>
      </c>
      <c r="C5" s="19" t="s">
        <v>94</v>
      </c>
      <c r="D5" s="20" t="n">
        <v>0.45</v>
      </c>
      <c r="E5" s="21" t="n">
        <f aca="false">1-D5</f>
        <v>0.55</v>
      </c>
      <c r="F5" s="22" t="n">
        <v>0.8</v>
      </c>
      <c r="G5" s="21" t="n">
        <f aca="false">1-F5</f>
        <v>0.2</v>
      </c>
      <c r="H5" s="11" t="n">
        <f aca="false">D5*Ingredients!$C$3+E5*(F5*Ingredients!$C$5+G5*Ingredients!$C$6)</f>
        <v>0.2509</v>
      </c>
      <c r="I5" s="11" t="n">
        <f aca="false">D5*Ingredients!$D$3+E5*(F5*Ingredients!$D$5+G5*Ingredients!$D$6)</f>
        <v>0.1368</v>
      </c>
      <c r="J5" s="11" t="n">
        <f aca="false">H5-I5</f>
        <v>0.1141</v>
      </c>
      <c r="K5" s="11" t="n">
        <f aca="false">D5*Ingredients!$E$3+E5*(F5*Ingredients!$E$5+G5*Ingredients!$E$6)</f>
        <v>0.1284</v>
      </c>
      <c r="L5" s="23" t="n">
        <f aca="false">D5*Ingredients!$F$3+E5*(F5*Ingredients!$F$5+G5*Ingredients!$F$6)</f>
        <v>1.7513</v>
      </c>
    </row>
    <row r="6" customFormat="false" ht="15" hidden="false" customHeight="true" outlineLevel="0" collapsed="false">
      <c r="A6" s="19" t="s">
        <v>100</v>
      </c>
      <c r="B6" s="6" t="s">
        <v>53</v>
      </c>
      <c r="C6" s="19" t="s">
        <v>96</v>
      </c>
      <c r="D6" s="20" t="n">
        <v>0.5</v>
      </c>
      <c r="E6" s="21" t="n">
        <f aca="false">1-D6</f>
        <v>0.5</v>
      </c>
      <c r="F6" s="22" t="n">
        <v>0.8</v>
      </c>
      <c r="G6" s="21" t="n">
        <f aca="false">1-F6</f>
        <v>0.2</v>
      </c>
      <c r="H6" s="11" t="n">
        <f aca="false">D6*Ingredients!$C$3+E6*(F6*Ingredients!$C$5+G6*Ingredients!$C$6)</f>
        <v>0.269</v>
      </c>
      <c r="I6" s="11" t="n">
        <f aca="false">D6*Ingredients!$D$3+E6*(F6*Ingredients!$D$5+G6*Ingredients!$D$6)</f>
        <v>0.148</v>
      </c>
      <c r="J6" s="11" t="n">
        <f aca="false">H6-I6</f>
        <v>0.121</v>
      </c>
      <c r="K6" s="11" t="n">
        <f aca="false">D6*Ingredients!$E$3+E6*(F6*Ingredients!$E$5+G6*Ingredients!$E$6)</f>
        <v>0.124</v>
      </c>
      <c r="L6" s="23" t="n">
        <f aca="false">D6*Ingredients!$F$3+E6*(F6*Ingredients!$F$5+G6*Ingredients!$F$6)</f>
        <v>1.733</v>
      </c>
    </row>
    <row r="7" customFormat="false" ht="15" hidden="false" customHeight="true" outlineLevel="0" collapsed="false">
      <c r="A7" s="19" t="s">
        <v>101</v>
      </c>
      <c r="B7" s="6" t="s">
        <v>53</v>
      </c>
      <c r="C7" s="19" t="s">
        <v>98</v>
      </c>
      <c r="D7" s="20" t="n">
        <v>0.55</v>
      </c>
      <c r="E7" s="21" t="n">
        <f aca="false">1-D7</f>
        <v>0.45</v>
      </c>
      <c r="F7" s="22" t="n">
        <v>0.8</v>
      </c>
      <c r="G7" s="21" t="n">
        <f aca="false">1-F7</f>
        <v>0.2</v>
      </c>
      <c r="H7" s="11" t="n">
        <f aca="false">D7*Ingredients!$C$3+E7*(F7*Ingredients!$C$5+G7*Ingredients!$C$6)</f>
        <v>0.2871</v>
      </c>
      <c r="I7" s="11" t="n">
        <f aca="false">D7*Ingredients!$D$3+E7*(F7*Ingredients!$D$5+G7*Ingredients!$D$6)</f>
        <v>0.1592</v>
      </c>
      <c r="J7" s="11" t="n">
        <f aca="false">H7-I7</f>
        <v>0.1279</v>
      </c>
      <c r="K7" s="11" t="n">
        <f aca="false">D7*Ingredients!$E$3+E7*(F7*Ingredients!$E$5+G7*Ingredients!$E$6)</f>
        <v>0.1196</v>
      </c>
      <c r="L7" s="23" t="n">
        <f aca="false">D7*Ingredients!$F$3+E7*(F7*Ingredients!$F$5+G7*Ingredients!$F$6)</f>
        <v>1.7147</v>
      </c>
    </row>
    <row r="8" customFormat="false" ht="15" hidden="false" customHeight="true" outlineLevel="0" collapsed="false">
      <c r="A8" s="19" t="s">
        <v>102</v>
      </c>
      <c r="B8" s="6" t="s">
        <v>55</v>
      </c>
      <c r="C8" s="19" t="s">
        <v>94</v>
      </c>
      <c r="D8" s="20" t="n">
        <v>0.45</v>
      </c>
      <c r="E8" s="21" t="n">
        <f aca="false">1-D8</f>
        <v>0.55</v>
      </c>
      <c r="F8" s="22" t="n">
        <v>0.8</v>
      </c>
      <c r="G8" s="21" t="n">
        <f aca="false">1-F8</f>
        <v>0.2</v>
      </c>
      <c r="H8" s="11" t="n">
        <f aca="false">D8*Ingredients!$C$4+E8*(F8*Ingredients!$C$5+G8*Ingredients!$C$6)</f>
        <v>0.3094</v>
      </c>
      <c r="I8" s="11" t="n">
        <f aca="false">D8*Ingredients!$D$4+E8*(F8*Ingredients!$D$5+G8*Ingredients!$D$6)</f>
        <v>0.1773</v>
      </c>
      <c r="J8" s="11" t="n">
        <f aca="false">H8-I8</f>
        <v>0.1321</v>
      </c>
      <c r="K8" s="11" t="n">
        <f aca="false">D8*Ingredients!$E$4+E8*(F8*Ingredients!$E$5+G8*Ingredients!$E$6)</f>
        <v>0.1419</v>
      </c>
      <c r="L8" s="23" t="n">
        <f aca="false">D8*Ingredients!$F$4+E8*(F8*Ingredients!$F$5+G8*Ingredients!$F$6)</f>
        <v>1.5938</v>
      </c>
    </row>
    <row r="9" customFormat="false" ht="15" hidden="false" customHeight="true" outlineLevel="0" collapsed="false">
      <c r="A9" s="19" t="s">
        <v>103</v>
      </c>
      <c r="B9" s="6" t="s">
        <v>55</v>
      </c>
      <c r="C9" s="19" t="s">
        <v>96</v>
      </c>
      <c r="D9" s="20" t="n">
        <v>0.5</v>
      </c>
      <c r="E9" s="21" t="n">
        <f aca="false">1-D9</f>
        <v>0.5</v>
      </c>
      <c r="F9" s="22" t="n">
        <v>0.8</v>
      </c>
      <c r="G9" s="21" t="n">
        <f aca="false">1-F9</f>
        <v>0.2</v>
      </c>
      <c r="H9" s="11" t="n">
        <f aca="false">D9*Ingredients!$C$4+E9*(F9*Ingredients!$C$5+G9*Ingredients!$C$6)</f>
        <v>0.334</v>
      </c>
      <c r="I9" s="11" t="n">
        <f aca="false">D9*Ingredients!$D$4+E9*(F9*Ingredients!$D$5+G9*Ingredients!$D$6)</f>
        <v>0.193</v>
      </c>
      <c r="J9" s="11" t="n">
        <f aca="false">H9-I9</f>
        <v>0.141</v>
      </c>
      <c r="K9" s="11" t="n">
        <f aca="false">D9*Ingredients!$E$4+E9*(F9*Ingredients!$E$5+G9*Ingredients!$E$6)</f>
        <v>0.139</v>
      </c>
      <c r="L9" s="23" t="n">
        <f aca="false">D9*Ingredients!$F$4+E9*(F9*Ingredients!$F$5+G9*Ingredients!$F$6)</f>
        <v>1.558</v>
      </c>
    </row>
    <row r="10" customFormat="false" ht="15" hidden="false" customHeight="true" outlineLevel="0" collapsed="false">
      <c r="A10" s="19" t="s">
        <v>104</v>
      </c>
      <c r="B10" s="6" t="s">
        <v>55</v>
      </c>
      <c r="C10" s="19" t="s">
        <v>98</v>
      </c>
      <c r="D10" s="20" t="n">
        <v>0.55</v>
      </c>
      <c r="E10" s="21" t="n">
        <f aca="false">1-D10</f>
        <v>0.45</v>
      </c>
      <c r="F10" s="22" t="n">
        <v>0.8</v>
      </c>
      <c r="G10" s="21" t="n">
        <f aca="false">1-F10</f>
        <v>0.2</v>
      </c>
      <c r="H10" s="11" t="n">
        <f aca="false">D10*Ingredients!$C$4+E10*(F10*Ingredients!$C$5+G10*Ingredients!$C$6)</f>
        <v>0.3586</v>
      </c>
      <c r="I10" s="11" t="n">
        <f aca="false">D10*Ingredients!$D$4+E10*(F10*Ingredients!$D$5+G10*Ingredients!$D$6)</f>
        <v>0.2087</v>
      </c>
      <c r="J10" s="11" t="n">
        <f aca="false">H10-I10</f>
        <v>0.1499</v>
      </c>
      <c r="K10" s="11" t="n">
        <f aca="false">D10*Ingredients!$E$4+E10*(F10*Ingredients!$E$5+G10*Ingredients!$E$6)</f>
        <v>0.1361</v>
      </c>
      <c r="L10" s="23" t="n">
        <f aca="false">D10*Ingredients!$F$4+E10*(F10*Ingredients!$F$5+G10*Ingredients!$F$6)</f>
        <v>1.5222</v>
      </c>
    </row>
    <row r="12" customFormat="false" ht="15" hidden="false" customHeight="true" outlineLevel="0" collapsed="false">
      <c r="A12" s="16" t="s">
        <v>105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</sheetData>
  <mergeCells count="1">
    <mergeCell ref="A12:L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5"/>
    <col collapsed="false" customWidth="true" hidden="false" outlineLevel="0" max="3" min="3" style="1" width="8"/>
    <col collapsed="false" customWidth="true" hidden="false" outlineLevel="0" max="4" min="4" style="1" width="9"/>
    <col collapsed="false" customWidth="true" hidden="false" outlineLevel="0" max="5" min="5" style="1" width="12"/>
    <col collapsed="false" customWidth="true" hidden="false" outlineLevel="0" max="6" min="6" style="1" width="7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1"/>
    <col collapsed="false" customWidth="true" hidden="false" outlineLevel="0" max="10" min="10" style="1" width="12"/>
    <col collapsed="false" customWidth="true" hidden="false" outlineLevel="0" max="11" min="11" style="1" width="10"/>
    <col collapsed="false" customWidth="true" hidden="false" outlineLevel="0" max="12" min="12" style="1" width="14"/>
    <col collapsed="false" customWidth="true" hidden="false" outlineLevel="0" max="13" min="13" style="1" width="9"/>
    <col collapsed="false" customWidth="true" hidden="false" outlineLevel="0" max="14" min="14" style="1" width="11"/>
    <col collapsed="false" customWidth="true" hidden="false" outlineLevel="0" max="15" min="15" style="1" width="10"/>
    <col collapsed="false" customWidth="true" hidden="false" outlineLevel="0" max="16" min="16" style="1" width="15"/>
    <col collapsed="false" customWidth="true" hidden="false" outlineLevel="0" max="17" min="17" style="1" width="11"/>
    <col collapsed="false" customWidth="true" hidden="false" outlineLevel="0" max="18" min="18" style="1" width="13"/>
    <col collapsed="false" customWidth="true" hidden="false" outlineLevel="0" max="19" min="19" style="1" width="12"/>
    <col collapsed="false" customWidth="true" hidden="false" outlineLevel="0" max="21" min="20" style="1" width="10"/>
  </cols>
  <sheetData>
    <row r="1" customFormat="false" ht="48" hidden="false" customHeight="true" outlineLevel="0" collapsed="false">
      <c r="A1" s="5" t="s">
        <v>81</v>
      </c>
      <c r="B1" s="5" t="s">
        <v>82</v>
      </c>
      <c r="C1" s="5" t="s">
        <v>106</v>
      </c>
      <c r="D1" s="5" t="s">
        <v>107</v>
      </c>
      <c r="E1" s="5" t="s">
        <v>108</v>
      </c>
      <c r="F1" s="5" t="s">
        <v>109</v>
      </c>
      <c r="G1" s="5" t="s">
        <v>110</v>
      </c>
      <c r="H1" s="5" t="s">
        <v>111</v>
      </c>
      <c r="I1" s="5" t="s">
        <v>112</v>
      </c>
      <c r="J1" s="5" t="s">
        <v>113</v>
      </c>
      <c r="K1" s="5" t="s">
        <v>114</v>
      </c>
      <c r="L1" s="5" t="s">
        <v>115</v>
      </c>
      <c r="M1" s="5" t="s">
        <v>116</v>
      </c>
      <c r="N1" s="5" t="s">
        <v>117</v>
      </c>
      <c r="O1" s="5" t="s">
        <v>118</v>
      </c>
      <c r="P1" s="5" t="s">
        <v>119</v>
      </c>
      <c r="Q1" s="5" t="s">
        <v>120</v>
      </c>
      <c r="R1" s="5" t="s">
        <v>121</v>
      </c>
      <c r="S1" s="5" t="s">
        <v>122</v>
      </c>
      <c r="T1" s="5" t="s">
        <v>123</v>
      </c>
      <c r="U1" s="5" t="s">
        <v>124</v>
      </c>
      <c r="W1" s="4" t="s">
        <v>125</v>
      </c>
    </row>
    <row r="2" customFormat="false" ht="15" hidden="false" customHeight="true" outlineLevel="0" collapsed="false">
      <c r="A2" s="19" t="str">
        <f aca="false">'Diet Scenarios'!A2</f>
        <v>S1</v>
      </c>
      <c r="B2" s="19" t="str">
        <f aca="false">'Diet Scenarios'!B2</f>
        <v>Alfalfa haylage</v>
      </c>
      <c r="C2" s="19" t="str">
        <f aca="false">'Diet Scenarios'!C2</f>
        <v>45:55</v>
      </c>
      <c r="D2" s="19" t="n">
        <f aca="false">$X$2</f>
        <v>650</v>
      </c>
      <c r="E2" s="19" t="n">
        <f aca="false">$X$3</f>
        <v>38</v>
      </c>
      <c r="F2" s="19" t="n">
        <f aca="false">$X$4</f>
        <v>3.8</v>
      </c>
      <c r="G2" s="19" t="n">
        <f aca="false">$X$5</f>
        <v>3.1</v>
      </c>
      <c r="H2" s="24" t="n">
        <f aca="false">0.327*E2+12.95*(E2*F2/100)+7.2*(E2*G2/100)</f>
        <v>39.6074</v>
      </c>
      <c r="I2" s="24" t="n">
        <f aca="false">$X$6*D2^0.75</f>
        <v>10.2985244517227</v>
      </c>
      <c r="J2" s="24" t="n">
        <f aca="false">E2*$X$7</f>
        <v>28.12</v>
      </c>
      <c r="K2" s="24" t="n">
        <f aca="false">(I2+J2)/'Diet Scenarios'!L2</f>
        <v>23.4430830191132</v>
      </c>
      <c r="L2" s="24" t="n">
        <f aca="false">13.3+0.118*('Diet Scenarios'!H2*100)-0.13*H2+2.2*F2-1.71*G2+0.00521*D2</f>
        <v>17.291658</v>
      </c>
      <c r="M2" s="23" t="n">
        <f aca="false">L2/Ingredients!$B$10</f>
        <v>0.310721617250674</v>
      </c>
      <c r="N2" s="24" t="n">
        <f aca="false">M2*Ingredients!$B$11</f>
        <v>8.6691331212938</v>
      </c>
      <c r="O2" s="24" t="n">
        <f aca="false">E2*(0.337+0.116*F2+0.06*G2)</f>
        <v>36.6244</v>
      </c>
      <c r="P2" s="23" t="n">
        <f aca="false">N2/O2</f>
        <v>0.23670375818563</v>
      </c>
      <c r="Q2" s="25" t="n">
        <f aca="false">K2*('Diet Scenarios'!D2*INDEX(Ingredients!$H$2:$H$6,MATCH('Diet Scenarios'!B2,Ingredients!$A$2:$A$6,0))+'Diet Scenarios'!E2*('Diet Scenarios'!F2*Ingredients!$H$5+'Diet Scenarios'!G2*Ingredients!$H$6))+Ingredients!$B$12</f>
        <v>8.5551435615898</v>
      </c>
      <c r="R2" s="25" t="n">
        <f aca="false">Q2/(E2/45.359237)</f>
        <v>10.2119680099783</v>
      </c>
      <c r="S2" s="25" t="n">
        <f aca="false">(E2/45.359237)*Ingredients!$B$8</f>
        <v>17.5928885223532</v>
      </c>
      <c r="T2" s="25" t="n">
        <f aca="false">S2-Q2</f>
        <v>9.03774496076344</v>
      </c>
      <c r="U2" s="25" t="n">
        <f aca="false">T2/(E2/45.359237)</f>
        <v>10.7880319900217</v>
      </c>
      <c r="W2" s="26" t="s">
        <v>107</v>
      </c>
      <c r="X2" s="15" t="n">
        <v>650</v>
      </c>
    </row>
    <row r="3" customFormat="false" ht="15" hidden="false" customHeight="true" outlineLevel="0" collapsed="false">
      <c r="A3" s="19" t="str">
        <f aca="false">'Diet Scenarios'!A3</f>
        <v>S2</v>
      </c>
      <c r="B3" s="19" t="str">
        <f aca="false">'Diet Scenarios'!B3</f>
        <v>Alfalfa haylage</v>
      </c>
      <c r="C3" s="19" t="str">
        <f aca="false">'Diet Scenarios'!C3</f>
        <v>50:50</v>
      </c>
      <c r="D3" s="19" t="n">
        <f aca="false">$X$2</f>
        <v>650</v>
      </c>
      <c r="E3" s="19" t="n">
        <f aca="false">$X$3</f>
        <v>38</v>
      </c>
      <c r="F3" s="19" t="n">
        <f aca="false">$X$4</f>
        <v>3.8</v>
      </c>
      <c r="G3" s="19" t="n">
        <f aca="false">$X$5</f>
        <v>3.1</v>
      </c>
      <c r="H3" s="24" t="n">
        <f aca="false">0.327*E3+12.95*(E3*F3/100)+7.2*(E3*G3/100)</f>
        <v>39.6074</v>
      </c>
      <c r="I3" s="24" t="n">
        <f aca="false">$X$6*D3^0.75</f>
        <v>10.2985244517227</v>
      </c>
      <c r="J3" s="24" t="n">
        <f aca="false">E3*$X$7</f>
        <v>28.12</v>
      </c>
      <c r="K3" s="24" t="n">
        <f aca="false">(I3+J3)/'Diet Scenarios'!L3</f>
        <v>23.892117196345</v>
      </c>
      <c r="L3" s="24" t="n">
        <f aca="false">13.3+0.118*('Diet Scenarios'!H3*100)-0.13*H3+2.2*F3-1.71*G3+0.00521*D3</f>
        <v>17.475738</v>
      </c>
      <c r="M3" s="23" t="n">
        <f aca="false">L3/Ingredients!$B$10</f>
        <v>0.314029433962264</v>
      </c>
      <c r="N3" s="24" t="n">
        <f aca="false">M3*Ingredients!$B$11</f>
        <v>8.76142120754717</v>
      </c>
      <c r="O3" s="24" t="n">
        <f aca="false">E3*(0.337+0.116*F3+0.06*G3)</f>
        <v>36.6244</v>
      </c>
      <c r="P3" s="23" t="n">
        <f aca="false">N3/O3</f>
        <v>0.239223610695252</v>
      </c>
      <c r="Q3" s="25" t="n">
        <f aca="false">K3*('Diet Scenarios'!D3*INDEX(Ingredients!$H$2:$H$6,MATCH('Diet Scenarios'!B3,Ingredients!$A$2:$A$6,0))+'Diet Scenarios'!E3*('Diet Scenarios'!F3*Ingredients!$H$5+'Diet Scenarios'!G3*Ingredients!$H$6))+Ingredients!$B$12</f>
        <v>9.00429648257397</v>
      </c>
      <c r="R3" s="25" t="n">
        <f aca="false">Q3/(E3/45.359237)</f>
        <v>10.748105741351</v>
      </c>
      <c r="S3" s="25" t="n">
        <f aca="false">(E3/45.359237)*Ingredients!$B$8</f>
        <v>17.5928885223532</v>
      </c>
      <c r="T3" s="25" t="n">
        <f aca="false">S3-Q3</f>
        <v>8.58859203977927</v>
      </c>
      <c r="U3" s="25" t="n">
        <f aca="false">T3/(E3/45.359237)</f>
        <v>10.251894258649</v>
      </c>
      <c r="W3" s="26" t="s">
        <v>108</v>
      </c>
      <c r="X3" s="15" t="n">
        <v>38</v>
      </c>
    </row>
    <row r="4" customFormat="false" ht="15" hidden="false" customHeight="true" outlineLevel="0" collapsed="false">
      <c r="A4" s="19" t="str">
        <f aca="false">'Diet Scenarios'!A4</f>
        <v>S3</v>
      </c>
      <c r="B4" s="19" t="str">
        <f aca="false">'Diet Scenarios'!B4</f>
        <v>Alfalfa haylage</v>
      </c>
      <c r="C4" s="19" t="str">
        <f aca="false">'Diet Scenarios'!C4</f>
        <v>55:45</v>
      </c>
      <c r="D4" s="19" t="n">
        <f aca="false">$X$2</f>
        <v>650</v>
      </c>
      <c r="E4" s="19" t="n">
        <f aca="false">$X$3</f>
        <v>38</v>
      </c>
      <c r="F4" s="19" t="n">
        <f aca="false">$X$4</f>
        <v>3.8</v>
      </c>
      <c r="G4" s="19" t="n">
        <f aca="false">$X$5</f>
        <v>3.1</v>
      </c>
      <c r="H4" s="24" t="n">
        <f aca="false">0.327*E4+12.95*(E4*F4/100)+7.2*(E4*G4/100)</f>
        <v>39.6074</v>
      </c>
      <c r="I4" s="24" t="n">
        <f aca="false">$X$6*D4^0.75</f>
        <v>10.2985244517227</v>
      </c>
      <c r="J4" s="24" t="n">
        <f aca="false">E4*$X$7</f>
        <v>28.12</v>
      </c>
      <c r="K4" s="24" t="n">
        <f aca="false">(I4+J4)/'Diet Scenarios'!L4</f>
        <v>24.3586891020306</v>
      </c>
      <c r="L4" s="24" t="n">
        <f aca="false">13.3+0.118*('Diet Scenarios'!H4*100)-0.13*H4+2.2*F4-1.71*G4+0.00521*D4</f>
        <v>17.659818</v>
      </c>
      <c r="M4" s="23" t="n">
        <f aca="false">L4/Ingredients!$B$10</f>
        <v>0.317337250673854</v>
      </c>
      <c r="N4" s="24" t="n">
        <f aca="false">M4*Ingredients!$B$11</f>
        <v>8.85370929380054</v>
      </c>
      <c r="O4" s="24" t="n">
        <f aca="false">E4*(0.337+0.116*F4+0.06*G4)</f>
        <v>36.6244</v>
      </c>
      <c r="P4" s="23" t="n">
        <f aca="false">N4/O4</f>
        <v>0.241743463204873</v>
      </c>
      <c r="Q4" s="25" t="n">
        <f aca="false">K4*('Diet Scenarios'!D4*INDEX(Ingredients!$H$2:$H$6,MATCH('Diet Scenarios'!B4,Ingredients!$A$2:$A$6,0))+'Diet Scenarios'!E4*('Diet Scenarios'!F4*Ingredients!$H$5+'Diet Scenarios'!G4*Ingredients!$H$6))+Ingredients!$B$12</f>
        <v>9.47099176973404</v>
      </c>
      <c r="R4" s="25" t="n">
        <f aca="false">Q4/(E4/45.359237)</f>
        <v>11.3051831660109</v>
      </c>
      <c r="S4" s="25" t="n">
        <f aca="false">(E4/45.359237)*Ingredients!$B$8</f>
        <v>17.5928885223532</v>
      </c>
      <c r="T4" s="25" t="n">
        <f aca="false">S4-Q4</f>
        <v>8.1218967526192</v>
      </c>
      <c r="U4" s="25" t="n">
        <f aca="false">T4/(E4/45.359237)</f>
        <v>9.69481683398906</v>
      </c>
      <c r="W4" s="26" t="s">
        <v>126</v>
      </c>
      <c r="X4" s="15" t="n">
        <v>3.8</v>
      </c>
    </row>
    <row r="5" customFormat="false" ht="15" hidden="false" customHeight="true" outlineLevel="0" collapsed="false">
      <c r="A5" s="19" t="str">
        <f aca="false">'Diet Scenarios'!A5</f>
        <v>S4</v>
      </c>
      <c r="B5" s="19" t="str">
        <f aca="false">'Diet Scenarios'!B5</f>
        <v>Corn silage</v>
      </c>
      <c r="C5" s="19" t="str">
        <f aca="false">'Diet Scenarios'!C5</f>
        <v>45:55</v>
      </c>
      <c r="D5" s="19" t="n">
        <f aca="false">$X$2</f>
        <v>650</v>
      </c>
      <c r="E5" s="19" t="n">
        <f aca="false">$X$3</f>
        <v>38</v>
      </c>
      <c r="F5" s="19" t="n">
        <f aca="false">$X$4</f>
        <v>3.8</v>
      </c>
      <c r="G5" s="19" t="n">
        <f aca="false">$X$5</f>
        <v>3.1</v>
      </c>
      <c r="H5" s="24" t="n">
        <f aca="false">0.327*E5+12.95*(E5*F5/100)+7.2*(E5*G5/100)</f>
        <v>39.6074</v>
      </c>
      <c r="I5" s="24" t="n">
        <f aca="false">$X$6*D5^0.75</f>
        <v>10.2985244517227</v>
      </c>
      <c r="J5" s="24" t="n">
        <f aca="false">E5*$X$7</f>
        <v>28.12</v>
      </c>
      <c r="K5" s="24" t="n">
        <f aca="false">(I5+J5)/'Diet Scenarios'!L5</f>
        <v>21.9371463779608</v>
      </c>
      <c r="L5" s="24" t="n">
        <f aca="false">13.3+0.118*('Diet Scenarios'!H5*100)-0.13*H5+2.2*F5-1.71*G5+0.00521*D5</f>
        <v>17.557158</v>
      </c>
      <c r="M5" s="23" t="n">
        <f aca="false">L5/Ingredients!$B$10</f>
        <v>0.315492506738544</v>
      </c>
      <c r="N5" s="24" t="n">
        <f aca="false">M5*Ingredients!$B$11</f>
        <v>8.80224093800539</v>
      </c>
      <c r="O5" s="24" t="n">
        <f aca="false">E5*(0.337+0.116*F5+0.06*G5)</f>
        <v>36.6244</v>
      </c>
      <c r="P5" s="23" t="n">
        <f aca="false">N5/O5</f>
        <v>0.240338160843738</v>
      </c>
      <c r="Q5" s="25" t="n">
        <f aca="false">K5*('Diet Scenarios'!D5*INDEX(Ingredients!$H$2:$H$6,MATCH('Diet Scenarios'!B5,Ingredients!$A$2:$A$6,0))+'Diet Scenarios'!E5*('Diet Scenarios'!F5*Ingredients!$H$5+'Diet Scenarios'!G5*Ingredients!$H$6))+Ingredients!$B$12</f>
        <v>4.94221530483588</v>
      </c>
      <c r="R5" s="25" t="n">
        <f aca="false">Q5/(E5/45.359237)</f>
        <v>5.89934513992311</v>
      </c>
      <c r="S5" s="25" t="n">
        <f aca="false">(E5/45.359237)*Ingredients!$B$8</f>
        <v>17.5928885223532</v>
      </c>
      <c r="T5" s="25" t="n">
        <f aca="false">S5-Q5</f>
        <v>12.6506732175174</v>
      </c>
      <c r="U5" s="25" t="n">
        <f aca="false">T5/(E5/45.359237)</f>
        <v>15.1006548600769</v>
      </c>
      <c r="W5" s="26" t="s">
        <v>127</v>
      </c>
      <c r="X5" s="15" t="n">
        <v>3.1</v>
      </c>
    </row>
    <row r="6" customFormat="false" ht="15" hidden="false" customHeight="true" outlineLevel="0" collapsed="false">
      <c r="A6" s="19" t="str">
        <f aca="false">'Diet Scenarios'!A6</f>
        <v>S5</v>
      </c>
      <c r="B6" s="19" t="str">
        <f aca="false">'Diet Scenarios'!B6</f>
        <v>Corn silage</v>
      </c>
      <c r="C6" s="19" t="str">
        <f aca="false">'Diet Scenarios'!C6</f>
        <v>50:50</v>
      </c>
      <c r="D6" s="19" t="n">
        <f aca="false">$X$2</f>
        <v>650</v>
      </c>
      <c r="E6" s="19" t="n">
        <f aca="false">$X$3</f>
        <v>38</v>
      </c>
      <c r="F6" s="19" t="n">
        <f aca="false">$X$4</f>
        <v>3.8</v>
      </c>
      <c r="G6" s="19" t="n">
        <f aca="false">$X$5</f>
        <v>3.1</v>
      </c>
      <c r="H6" s="24" t="n">
        <f aca="false">0.327*E6+12.95*(E6*F6/100)+7.2*(E6*G6/100)</f>
        <v>39.6074</v>
      </c>
      <c r="I6" s="24" t="n">
        <f aca="false">$X$6*D6^0.75</f>
        <v>10.2985244517227</v>
      </c>
      <c r="J6" s="24" t="n">
        <f aca="false">E6*$X$7</f>
        <v>28.12</v>
      </c>
      <c r="K6" s="24" t="n">
        <f aca="false">(I6+J6)/'Diet Scenarios'!L6</f>
        <v>22.1687965676415</v>
      </c>
      <c r="L6" s="24" t="n">
        <f aca="false">13.3+0.118*('Diet Scenarios'!H6*100)-0.13*H6+2.2*F6-1.71*G6+0.00521*D6</f>
        <v>17.770738</v>
      </c>
      <c r="M6" s="23" t="n">
        <f aca="false">L6/Ingredients!$B$10</f>
        <v>0.31933042228212</v>
      </c>
      <c r="N6" s="24" t="n">
        <f aca="false">M6*Ingredients!$B$11</f>
        <v>8.90931878167116</v>
      </c>
      <c r="O6" s="24" t="n">
        <f aca="false">E6*(0.337+0.116*F6+0.06*G6)</f>
        <v>36.6244</v>
      </c>
      <c r="P6" s="23" t="n">
        <f aca="false">N6/O6</f>
        <v>0.243261835870926</v>
      </c>
      <c r="Q6" s="25" t="n">
        <f aca="false">K6*('Diet Scenarios'!D6*INDEX(Ingredients!$H$2:$H$6,MATCH('Diet Scenarios'!B6,Ingredients!$A$2:$A$6,0))+'Diet Scenarios'!E6*('Diet Scenarios'!F6*Ingredients!$H$5+'Diet Scenarios'!G6*Ingredients!$H$6))+Ingredients!$B$12</f>
        <v>4.91514410733267</v>
      </c>
      <c r="R6" s="25" t="n">
        <f aca="false">Q6/(E6/45.359237)</f>
        <v>5.86703122246463</v>
      </c>
      <c r="S6" s="25" t="n">
        <f aca="false">(E6/45.359237)*Ingredients!$B$8</f>
        <v>17.5928885223532</v>
      </c>
      <c r="T6" s="25" t="n">
        <f aca="false">S6-Q6</f>
        <v>12.6777444150206</v>
      </c>
      <c r="U6" s="25" t="n">
        <f aca="false">T6/(E6/45.359237)</f>
        <v>15.1329687775354</v>
      </c>
      <c r="W6" s="26" t="s">
        <v>128</v>
      </c>
      <c r="X6" s="15" t="n">
        <v>0.08</v>
      </c>
    </row>
    <row r="7" customFormat="false" ht="15" hidden="false" customHeight="true" outlineLevel="0" collapsed="false">
      <c r="A7" s="19" t="str">
        <f aca="false">'Diet Scenarios'!A7</f>
        <v>S6</v>
      </c>
      <c r="B7" s="19" t="str">
        <f aca="false">'Diet Scenarios'!B7</f>
        <v>Corn silage</v>
      </c>
      <c r="C7" s="19" t="str">
        <f aca="false">'Diet Scenarios'!C7</f>
        <v>55:45</v>
      </c>
      <c r="D7" s="19" t="n">
        <f aca="false">$X$2</f>
        <v>650</v>
      </c>
      <c r="E7" s="19" t="n">
        <f aca="false">$X$3</f>
        <v>38</v>
      </c>
      <c r="F7" s="19" t="n">
        <f aca="false">$X$4</f>
        <v>3.8</v>
      </c>
      <c r="G7" s="19" t="n">
        <f aca="false">$X$5</f>
        <v>3.1</v>
      </c>
      <c r="H7" s="24" t="n">
        <f aca="false">0.327*E7+12.95*(E7*F7/100)+7.2*(E7*G7/100)</f>
        <v>39.6074</v>
      </c>
      <c r="I7" s="24" t="n">
        <f aca="false">$X$6*D7^0.75</f>
        <v>10.2985244517227</v>
      </c>
      <c r="J7" s="24" t="n">
        <f aca="false">E7*$X$7</f>
        <v>28.12</v>
      </c>
      <c r="K7" s="24" t="n">
        <f aca="false">(I7+J7)/'Diet Scenarios'!L7</f>
        <v>22.4053912939422</v>
      </c>
      <c r="L7" s="24" t="n">
        <f aca="false">13.3+0.118*('Diet Scenarios'!H7*100)-0.13*H7+2.2*F7-1.71*G7+0.00521*D7</f>
        <v>17.984318</v>
      </c>
      <c r="M7" s="23" t="n">
        <f aca="false">L7/Ingredients!$B$10</f>
        <v>0.323168337825696</v>
      </c>
      <c r="N7" s="24" t="n">
        <f aca="false">M7*Ingredients!$B$11</f>
        <v>9.01639662533693</v>
      </c>
      <c r="O7" s="24" t="n">
        <f aca="false">E7*(0.337+0.116*F7+0.06*G7)</f>
        <v>36.6244</v>
      </c>
      <c r="P7" s="23" t="n">
        <f aca="false">N7/O7</f>
        <v>0.246185510898115</v>
      </c>
      <c r="Q7" s="25" t="n">
        <f aca="false">K7*('Diet Scenarios'!D7*INDEX(Ingredients!$H$2:$H$6,MATCH('Diet Scenarios'!B7,Ingredients!$A$2:$A$6,0))+'Diet Scenarios'!E7*('Diet Scenarios'!F7*Ingredients!$H$5+'Diet Scenarios'!G7*Ingredients!$H$6))+Ingredients!$B$12</f>
        <v>4.88749507940512</v>
      </c>
      <c r="R7" s="25" t="n">
        <f aca="false">Q7/(E7/45.359237)</f>
        <v>5.83402756955449</v>
      </c>
      <c r="S7" s="25" t="n">
        <f aca="false">(E7/45.359237)*Ingredients!$B$8</f>
        <v>17.5928885223532</v>
      </c>
      <c r="T7" s="25" t="n">
        <f aca="false">S7-Q7</f>
        <v>12.7053934429481</v>
      </c>
      <c r="U7" s="25" t="n">
        <f aca="false">T7/(E7/45.359237)</f>
        <v>15.1659724304455</v>
      </c>
      <c r="W7" s="26" t="s">
        <v>129</v>
      </c>
      <c r="X7" s="15" t="n">
        <v>0.74</v>
      </c>
    </row>
    <row r="8" customFormat="false" ht="15" hidden="false" customHeight="true" outlineLevel="0" collapsed="false">
      <c r="A8" s="19" t="str">
        <f aca="false">'Diet Scenarios'!A8</f>
        <v>S7</v>
      </c>
      <c r="B8" s="19" t="str">
        <f aca="false">'Diet Scenarios'!B8</f>
        <v>Grass hay</v>
      </c>
      <c r="C8" s="19" t="str">
        <f aca="false">'Diet Scenarios'!C8</f>
        <v>45:55</v>
      </c>
      <c r="D8" s="19" t="n">
        <f aca="false">$X$2</f>
        <v>650</v>
      </c>
      <c r="E8" s="19" t="n">
        <f aca="false">$X$3</f>
        <v>38</v>
      </c>
      <c r="F8" s="19" t="n">
        <f aca="false">$X$4</f>
        <v>3.8</v>
      </c>
      <c r="G8" s="19" t="n">
        <f aca="false">$X$5</f>
        <v>3.1</v>
      </c>
      <c r="H8" s="24" t="n">
        <f aca="false">0.327*E8+12.95*(E8*F8/100)+7.2*(E8*G8/100)</f>
        <v>39.6074</v>
      </c>
      <c r="I8" s="24" t="n">
        <f aca="false">$X$6*D8^0.75</f>
        <v>10.2985244517227</v>
      </c>
      <c r="J8" s="24" t="n">
        <f aca="false">E8*$X$7</f>
        <v>28.12</v>
      </c>
      <c r="K8" s="24" t="n">
        <f aca="false">(I8+J8)/'Diet Scenarios'!L8</f>
        <v>24.1049845976425</v>
      </c>
      <c r="L8" s="24" t="n">
        <f aca="false">13.3+0.118*('Diet Scenarios'!H8*100)-0.13*H8+2.2*F8-1.71*G8+0.00521*D8</f>
        <v>18.247458</v>
      </c>
      <c r="M8" s="23" t="n">
        <f aca="false">L8/Ingredients!$B$10</f>
        <v>0.327896819407008</v>
      </c>
      <c r="N8" s="24" t="n">
        <f aca="false">M8*Ingredients!$B$11</f>
        <v>9.14832126145552</v>
      </c>
      <c r="O8" s="24" t="n">
        <f aca="false">E8*(0.337+0.116*F8+0.06*G8)</f>
        <v>36.6244</v>
      </c>
      <c r="P8" s="23" t="n">
        <f aca="false">N8/O8</f>
        <v>0.249787607754817</v>
      </c>
      <c r="Q8" s="25" t="n">
        <f aca="false">K8*('Diet Scenarios'!D8*INDEX(Ingredients!$H$2:$H$6,MATCH('Diet Scenarios'!B8,Ingredients!$A$2:$A$6,0))+'Diet Scenarios'!E8*('Diet Scenarios'!F8*Ingredients!$H$5+'Diet Scenarios'!G8*Ingredients!$H$6))+Ingredients!$B$12</f>
        <v>5.56997540671888</v>
      </c>
      <c r="R8" s="25" t="n">
        <f aca="false">Q8/(E8/45.359237)</f>
        <v>6.64867985677718</v>
      </c>
      <c r="S8" s="25" t="n">
        <f aca="false">(E8/45.359237)*Ingredients!$B$8</f>
        <v>17.5928885223532</v>
      </c>
      <c r="T8" s="25" t="n">
        <f aca="false">S8-Q8</f>
        <v>12.0229131156344</v>
      </c>
      <c r="U8" s="25" t="n">
        <f aca="false">T8/(E8/45.359237)</f>
        <v>14.3513201432228</v>
      </c>
    </row>
    <row r="9" customFormat="false" ht="15" hidden="false" customHeight="true" outlineLevel="0" collapsed="false">
      <c r="A9" s="19" t="str">
        <f aca="false">'Diet Scenarios'!A9</f>
        <v>S8</v>
      </c>
      <c r="B9" s="19" t="str">
        <f aca="false">'Diet Scenarios'!B9</f>
        <v>Grass hay</v>
      </c>
      <c r="C9" s="19" t="str">
        <f aca="false">'Diet Scenarios'!C9</f>
        <v>50:50</v>
      </c>
      <c r="D9" s="19" t="n">
        <f aca="false">$X$2</f>
        <v>650</v>
      </c>
      <c r="E9" s="19" t="n">
        <f aca="false">$X$3</f>
        <v>38</v>
      </c>
      <c r="F9" s="19" t="n">
        <f aca="false">$X$4</f>
        <v>3.8</v>
      </c>
      <c r="G9" s="19" t="n">
        <f aca="false">$X$5</f>
        <v>3.1</v>
      </c>
      <c r="H9" s="24" t="n">
        <f aca="false">0.327*E9+12.95*(E9*F9/100)+7.2*(E9*G9/100)</f>
        <v>39.6074</v>
      </c>
      <c r="I9" s="24" t="n">
        <f aca="false">$X$6*D9^0.75</f>
        <v>10.2985244517227</v>
      </c>
      <c r="J9" s="24" t="n">
        <f aca="false">E9*$X$7</f>
        <v>28.12</v>
      </c>
      <c r="K9" s="24" t="n">
        <f aca="false">(I9+J9)/'Diet Scenarios'!L9</f>
        <v>24.6588732039298</v>
      </c>
      <c r="L9" s="24" t="n">
        <f aca="false">13.3+0.118*('Diet Scenarios'!H9*100)-0.13*H9+2.2*F9-1.71*G9+0.00521*D9</f>
        <v>18.537738</v>
      </c>
      <c r="M9" s="23" t="n">
        <f aca="false">L9/Ingredients!$B$10</f>
        <v>0.333112991913747</v>
      </c>
      <c r="N9" s="24" t="n">
        <f aca="false">M9*Ingredients!$B$11</f>
        <v>9.29385247439353</v>
      </c>
      <c r="O9" s="24" t="n">
        <f aca="false">E9*(0.337+0.116*F9+0.06*G9)</f>
        <v>36.6244</v>
      </c>
      <c r="P9" s="23" t="n">
        <f aca="false">N9/O9</f>
        <v>0.253761221327681</v>
      </c>
      <c r="Q9" s="25" t="n">
        <f aca="false">K9*('Diet Scenarios'!D9*INDEX(Ingredients!$H$2:$H$6,MATCH('Diet Scenarios'!B9,Ingredients!$A$2:$A$6,0))+'Diet Scenarios'!E9*('Diet Scenarios'!F9*Ingredients!$H$5+'Diet Scenarios'!G9*Ingredients!$H$6))+Ingredients!$B$12</f>
        <v>5.62564213669679</v>
      </c>
      <c r="R9" s="25" t="n">
        <f aca="false">Q9/(E9/45.359237)</f>
        <v>6.7151272356741</v>
      </c>
      <c r="S9" s="25" t="n">
        <f aca="false">(E9/45.359237)*Ingredients!$B$8</f>
        <v>17.5928885223532</v>
      </c>
      <c r="T9" s="25" t="n">
        <f aca="false">S9-Q9</f>
        <v>11.9672463856564</v>
      </c>
      <c r="U9" s="25" t="n">
        <f aca="false">T9/(E9/45.359237)</f>
        <v>14.2848727643259</v>
      </c>
    </row>
    <row r="10" customFormat="false" ht="15" hidden="false" customHeight="true" outlineLevel="0" collapsed="false">
      <c r="A10" s="19" t="str">
        <f aca="false">'Diet Scenarios'!A10</f>
        <v>S9</v>
      </c>
      <c r="B10" s="19" t="str">
        <f aca="false">'Diet Scenarios'!B10</f>
        <v>Grass hay</v>
      </c>
      <c r="C10" s="19" t="str">
        <f aca="false">'Diet Scenarios'!C10</f>
        <v>55:45</v>
      </c>
      <c r="D10" s="19" t="n">
        <f aca="false">$X$2</f>
        <v>650</v>
      </c>
      <c r="E10" s="19" t="n">
        <f aca="false">$X$3</f>
        <v>38</v>
      </c>
      <c r="F10" s="19" t="n">
        <f aca="false">$X$4</f>
        <v>3.8</v>
      </c>
      <c r="G10" s="19" t="n">
        <f aca="false">$X$5</f>
        <v>3.1</v>
      </c>
      <c r="H10" s="24" t="n">
        <f aca="false">0.327*E10+12.95*(E10*F10/100)+7.2*(E10*G10/100)</f>
        <v>39.6074</v>
      </c>
      <c r="I10" s="24" t="n">
        <f aca="false">$X$6*D10^0.75</f>
        <v>10.2985244517227</v>
      </c>
      <c r="J10" s="24" t="n">
        <f aca="false">E10*$X$7</f>
        <v>28.12</v>
      </c>
      <c r="K10" s="24" t="n">
        <f aca="false">(I10+J10)/'Diet Scenarios'!L10</f>
        <v>25.2388151699663</v>
      </c>
      <c r="L10" s="24" t="n">
        <f aca="false">13.3+0.118*('Diet Scenarios'!H10*100)-0.13*H10+2.2*F10-1.71*G10+0.00521*D10</f>
        <v>18.828018</v>
      </c>
      <c r="M10" s="23" t="n">
        <f aca="false">L10/Ingredients!$B$10</f>
        <v>0.338329164420485</v>
      </c>
      <c r="N10" s="24" t="n">
        <f aca="false">M10*Ingredients!$B$11</f>
        <v>9.43938368733154</v>
      </c>
      <c r="O10" s="24" t="n">
        <f aca="false">E10*(0.337+0.116*F10+0.06*G10)</f>
        <v>36.6244</v>
      </c>
      <c r="P10" s="23" t="n">
        <f aca="false">N10/O10</f>
        <v>0.257734834900545</v>
      </c>
      <c r="Q10" s="25" t="n">
        <f aca="false">K10*('Diet Scenarios'!D10*INDEX(Ingredients!$H$2:$H$6,MATCH('Diet Scenarios'!B10,Ingredients!$A$2:$A$6,0))+'Diet Scenarios'!E10*('Diet Scenarios'!F10*Ingredients!$H$5+'Diet Scenarios'!G10*Ingredients!$H$6))+Ingredients!$B$12</f>
        <v>5.68392727284104</v>
      </c>
      <c r="R10" s="25" t="n">
        <f aca="false">Q10/(E10/45.359237)</f>
        <v>6.7847001120937</v>
      </c>
      <c r="S10" s="25" t="n">
        <f aca="false">(E10/45.359237)*Ingredients!$B$8</f>
        <v>17.5928885223532</v>
      </c>
      <c r="T10" s="25" t="n">
        <f aca="false">S10-Q10</f>
        <v>11.9089612495122</v>
      </c>
      <c r="U10" s="25" t="n">
        <f aca="false">T10/(E10/45.359237)</f>
        <v>14.2152998879063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22"/>
    <col collapsed="false" customWidth="true" hidden="false" outlineLevel="0" max="6" min="5" style="1" width="16"/>
    <col collapsed="false" customWidth="true" hidden="false" outlineLevel="0" max="7" min="7" style="1" width="22"/>
  </cols>
  <sheetData>
    <row r="1" customFormat="false" ht="15.75" hidden="false" customHeight="true" outlineLevel="0" collapsed="false">
      <c r="A1" s="27" t="s">
        <v>130</v>
      </c>
    </row>
    <row r="3" customFormat="false" ht="48" hidden="false" customHeight="true" outlineLevel="0" collapsed="false">
      <c r="A3" s="5" t="s">
        <v>81</v>
      </c>
      <c r="B3" s="5" t="s">
        <v>82</v>
      </c>
      <c r="C3" s="5" t="s">
        <v>106</v>
      </c>
      <c r="D3" s="5" t="s">
        <v>131</v>
      </c>
      <c r="E3" s="5" t="s">
        <v>132</v>
      </c>
      <c r="F3" s="5" t="s">
        <v>133</v>
      </c>
      <c r="G3" s="5" t="s">
        <v>134</v>
      </c>
    </row>
    <row r="4" customFormat="false" ht="15" hidden="false" customHeight="true" outlineLevel="0" collapsed="false">
      <c r="A4" s="19" t="str">
        <f aca="false">Calculations!A2</f>
        <v>S1</v>
      </c>
      <c r="B4" s="19" t="str">
        <f aca="false">Calculations!B2</f>
        <v>Alfalfa haylage</v>
      </c>
      <c r="C4" s="19" t="str">
        <f aca="false">Calculations!C2</f>
        <v>45:55</v>
      </c>
      <c r="D4" s="28" t="n">
        <f aca="false">Calculations!P2</f>
        <v>0.23670375818563</v>
      </c>
      <c r="E4" s="25" t="n">
        <f aca="false">Calculations!U2</f>
        <v>10.7880319900217</v>
      </c>
      <c r="F4" s="25" t="n">
        <f aca="false">Calculations!R2</f>
        <v>10.2119680099783</v>
      </c>
      <c r="G4" s="25" t="str">
        <f aca="false">IFERROR((INDEX(E4:E12,MATCH(MIN(D4:D12),D4:D12,0))-E4)/(D4-MIN(D4:D12)),"ref. scenario")</f>
        <v>ref. scenario</v>
      </c>
    </row>
    <row r="5" customFormat="false" ht="15" hidden="false" customHeight="true" outlineLevel="0" collapsed="false">
      <c r="A5" s="19" t="str">
        <f aca="false">Calculations!A3</f>
        <v>S2</v>
      </c>
      <c r="B5" s="19" t="str">
        <f aca="false">Calculations!B3</f>
        <v>Alfalfa haylage</v>
      </c>
      <c r="C5" s="19" t="str">
        <f aca="false">Calculations!C3</f>
        <v>50:50</v>
      </c>
      <c r="D5" s="28" t="n">
        <f aca="false">Calculations!P3</f>
        <v>0.239223610695252</v>
      </c>
      <c r="E5" s="25" t="n">
        <f aca="false">Calculations!U3</f>
        <v>10.251894258649</v>
      </c>
      <c r="F5" s="25" t="n">
        <f aca="false">Calculations!R3</f>
        <v>10.748105741351</v>
      </c>
      <c r="G5" s="25" t="n">
        <f aca="false">IFERROR((INDEX(E4:E12,MATCH(MIN(D4:D12),D4:D12,0))-E5)/(D5-MIN(D4:D12)),"ref. scenario")</f>
        <v>212.765520730141</v>
      </c>
    </row>
    <row r="6" customFormat="false" ht="15" hidden="false" customHeight="true" outlineLevel="0" collapsed="false">
      <c r="A6" s="19" t="str">
        <f aca="false">Calculations!A4</f>
        <v>S3</v>
      </c>
      <c r="B6" s="19" t="str">
        <f aca="false">Calculations!B4</f>
        <v>Alfalfa haylage</v>
      </c>
      <c r="C6" s="19" t="str">
        <f aca="false">Calculations!C4</f>
        <v>55:45</v>
      </c>
      <c r="D6" s="28" t="n">
        <f aca="false">Calculations!P4</f>
        <v>0.241743463204873</v>
      </c>
      <c r="E6" s="25" t="n">
        <f aca="false">Calculations!U4</f>
        <v>9.69481683398906</v>
      </c>
      <c r="F6" s="25" t="n">
        <f aca="false">Calculations!R4</f>
        <v>11.3051831660109</v>
      </c>
      <c r="G6" s="25" t="n">
        <f aca="false">IFERROR((INDEX(E4:E12,MATCH(MIN(D4:D12),D4:D12,0))-E6)/(D6-MIN(D4:D12)),"ref. scenario")</f>
        <v>216.920464959471</v>
      </c>
    </row>
    <row r="7" customFormat="false" ht="15" hidden="false" customHeight="true" outlineLevel="0" collapsed="false">
      <c r="A7" s="19" t="str">
        <f aca="false">Calculations!A5</f>
        <v>S4</v>
      </c>
      <c r="B7" s="19" t="str">
        <f aca="false">Calculations!B5</f>
        <v>Corn silage</v>
      </c>
      <c r="C7" s="19" t="str">
        <f aca="false">Calculations!C5</f>
        <v>45:55</v>
      </c>
      <c r="D7" s="28" t="n">
        <f aca="false">Calculations!P5</f>
        <v>0.240338160843738</v>
      </c>
      <c r="E7" s="25" t="n">
        <f aca="false">Calculations!U5</f>
        <v>15.1006548600769</v>
      </c>
      <c r="F7" s="25" t="n">
        <f aca="false">Calculations!R5</f>
        <v>5.89934513992311</v>
      </c>
      <c r="G7" s="25" t="n">
        <f aca="false">IFERROR((INDEX(E4:E12,MATCH(MIN(D4:D12),D4:D12,0))-E7)/(D7-MIN(D4:D12)),"ref. scenario")</f>
        <v>-1186.6111919203</v>
      </c>
    </row>
    <row r="8" customFormat="false" ht="15" hidden="false" customHeight="true" outlineLevel="0" collapsed="false">
      <c r="A8" s="19" t="str">
        <f aca="false">Calculations!A6</f>
        <v>S5</v>
      </c>
      <c r="B8" s="19" t="str">
        <f aca="false">Calculations!B6</f>
        <v>Corn silage</v>
      </c>
      <c r="C8" s="19" t="str">
        <f aca="false">Calculations!C6</f>
        <v>50:50</v>
      </c>
      <c r="D8" s="28" t="n">
        <f aca="false">Calculations!P6</f>
        <v>0.243261835870926</v>
      </c>
      <c r="E8" s="25" t="n">
        <f aca="false">Calculations!U6</f>
        <v>15.1329687775354</v>
      </c>
      <c r="F8" s="25" t="n">
        <f aca="false">Calculations!R6</f>
        <v>5.86703122246463</v>
      </c>
      <c r="G8" s="25" t="n">
        <f aca="false">IFERROR((INDEX(E4:E12,MATCH(MIN(D4:D12),D4:D12,0))-E8)/(D8-MIN(D4:D12)),"ref. scenario")</f>
        <v>-662.532070526619</v>
      </c>
    </row>
    <row r="9" customFormat="false" ht="15" hidden="false" customHeight="true" outlineLevel="0" collapsed="false">
      <c r="A9" s="19" t="str">
        <f aca="false">Calculations!A7</f>
        <v>S6</v>
      </c>
      <c r="B9" s="19" t="str">
        <f aca="false">Calculations!B7</f>
        <v>Corn silage</v>
      </c>
      <c r="C9" s="19" t="str">
        <f aca="false">Calculations!C7</f>
        <v>55:45</v>
      </c>
      <c r="D9" s="28" t="n">
        <f aca="false">Calculations!P7</f>
        <v>0.246185510898115</v>
      </c>
      <c r="E9" s="25" t="n">
        <f aca="false">Calculations!U7</f>
        <v>15.1659724304455</v>
      </c>
      <c r="F9" s="25" t="n">
        <f aca="false">Calculations!R7</f>
        <v>5.83402756955449</v>
      </c>
      <c r="G9" s="25" t="n">
        <f aca="false">IFERROR((INDEX(E4:E12,MATCH(MIN(D4:D12),D4:D12,0))-E9)/(D9-MIN(D4:D12)),"ref. scenario")</f>
        <v>-461.722697604136</v>
      </c>
    </row>
    <row r="10" customFormat="false" ht="15" hidden="false" customHeight="true" outlineLevel="0" collapsed="false">
      <c r="A10" s="19" t="str">
        <f aca="false">Calculations!A8</f>
        <v>S7</v>
      </c>
      <c r="B10" s="19" t="str">
        <f aca="false">Calculations!B8</f>
        <v>Grass hay</v>
      </c>
      <c r="C10" s="19" t="str">
        <f aca="false">Calculations!C8</f>
        <v>45:55</v>
      </c>
      <c r="D10" s="28" t="n">
        <f aca="false">Calculations!P8</f>
        <v>0.249787607754817</v>
      </c>
      <c r="E10" s="25" t="n">
        <f aca="false">Calculations!U8</f>
        <v>14.3513201432228</v>
      </c>
      <c r="F10" s="25" t="n">
        <f aca="false">Calculations!R8</f>
        <v>6.64867985677718</v>
      </c>
      <c r="G10" s="25" t="n">
        <f aca="false">IFERROR((INDEX(E4:E12,MATCH(MIN(D4:D12),D4:D12,0))-E10)/(D10-MIN(D4:D12)),"ref. scenario")</f>
        <v>-272.342488681074</v>
      </c>
    </row>
    <row r="11" customFormat="false" ht="15" hidden="false" customHeight="true" outlineLevel="0" collapsed="false">
      <c r="A11" s="19" t="str">
        <f aca="false">Calculations!A9</f>
        <v>S8</v>
      </c>
      <c r="B11" s="19" t="str">
        <f aca="false">Calculations!B9</f>
        <v>Grass hay</v>
      </c>
      <c r="C11" s="19" t="str">
        <f aca="false">Calculations!C9</f>
        <v>50:50</v>
      </c>
      <c r="D11" s="28" t="n">
        <f aca="false">Calculations!P9</f>
        <v>0.253761221327681</v>
      </c>
      <c r="E11" s="25" t="n">
        <f aca="false">Calculations!U9</f>
        <v>14.2848727643259</v>
      </c>
      <c r="F11" s="25" t="n">
        <f aca="false">Calculations!R9</f>
        <v>6.7151272356741</v>
      </c>
      <c r="G11" s="25" t="n">
        <f aca="false">IFERROR((INDEX(E4:E12,MATCH(MIN(D4:D12),D4:D12,0))-E11)/(D11-MIN(D4:D12)),"ref. scenario")</f>
        <v>-205.003566191716</v>
      </c>
    </row>
    <row r="12" customFormat="false" ht="15" hidden="false" customHeight="true" outlineLevel="0" collapsed="false">
      <c r="A12" s="19" t="str">
        <f aca="false">Calculations!A10</f>
        <v>S9</v>
      </c>
      <c r="B12" s="19" t="str">
        <f aca="false">Calculations!B10</f>
        <v>Grass hay</v>
      </c>
      <c r="C12" s="19" t="str">
        <f aca="false">Calculations!C10</f>
        <v>55:45</v>
      </c>
      <c r="D12" s="28" t="n">
        <f aca="false">Calculations!P10</f>
        <v>0.257734834900545</v>
      </c>
      <c r="E12" s="25" t="n">
        <f aca="false">Calculations!U10</f>
        <v>14.2152998879063</v>
      </c>
      <c r="F12" s="25" t="n">
        <f aca="false">Calculations!R10</f>
        <v>6.7847001120937</v>
      </c>
      <c r="G12" s="25" t="n">
        <f aca="false">IFERROR((INDEX(E4:E12,MATCH(MIN(D4:D12),D4:D12,0))-E12)/(D12-MIN(D4:D12)),"ref. scenario")</f>
        <v>-162.962074854399</v>
      </c>
    </row>
    <row r="15" customFormat="false" ht="15" hidden="false" customHeight="true" outlineLevel="0" collapsed="false">
      <c r="A15" s="16" t="s">
        <v>135</v>
      </c>
      <c r="B15" s="16"/>
      <c r="C15" s="16"/>
      <c r="D15" s="16"/>
      <c r="E15" s="16"/>
      <c r="F15" s="16"/>
      <c r="G15" s="16"/>
    </row>
  </sheetData>
  <mergeCells count="1"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11" min="2" style="1" width="12"/>
    <col collapsed="false" customWidth="true" hidden="false" outlineLevel="0" max="12" min="12" style="1" width="65"/>
  </cols>
  <sheetData>
    <row r="1" customFormat="false" ht="15.75" hidden="false" customHeight="true" outlineLevel="0" collapsed="false">
      <c r="A1" s="27" t="s">
        <v>136</v>
      </c>
    </row>
    <row r="2" customFormat="false" ht="15" hidden="false" customHeight="true" outlineLevel="0" collapsed="false">
      <c r="A2" s="16" t="s">
        <v>137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4" customFormat="false" ht="36" hidden="false" customHeight="true" outlineLevel="0" collapsed="false">
      <c r="A4" s="29" t="s">
        <v>138</v>
      </c>
      <c r="B4" s="29" t="s">
        <v>139</v>
      </c>
      <c r="C4" s="29" t="s">
        <v>132</v>
      </c>
      <c r="D4" s="29" t="s">
        <v>140</v>
      </c>
      <c r="E4" s="29" t="s">
        <v>141</v>
      </c>
      <c r="F4" s="29" t="s">
        <v>142</v>
      </c>
      <c r="G4" s="29" t="s">
        <v>143</v>
      </c>
      <c r="H4" s="29" t="s">
        <v>144</v>
      </c>
      <c r="I4" s="29" t="s">
        <v>145</v>
      </c>
      <c r="J4" s="29" t="s">
        <v>146</v>
      </c>
      <c r="K4" s="29" t="s">
        <v>147</v>
      </c>
      <c r="L4" s="29" t="s">
        <v>148</v>
      </c>
    </row>
    <row r="5" customFormat="false" ht="15" hidden="false" customHeight="true" outlineLevel="0" collapsed="false">
      <c r="A5" s="24" t="n">
        <v>28</v>
      </c>
      <c r="B5" s="28" t="n">
        <v>0.245038654948231</v>
      </c>
      <c r="C5" s="25" t="n">
        <v>14.6359040083708</v>
      </c>
      <c r="D5" s="24" t="n">
        <v>12.1350235232637</v>
      </c>
      <c r="E5" s="24" t="n">
        <v>15.9999999999996</v>
      </c>
      <c r="F5" s="24" t="n">
        <v>22.4034625404737</v>
      </c>
      <c r="G5" s="11" t="n">
        <v>0</v>
      </c>
      <c r="H5" s="11" t="n">
        <v>0.45</v>
      </c>
      <c r="I5" s="11" t="n">
        <v>0.061</v>
      </c>
      <c r="J5" s="11" t="n">
        <v>0.3011</v>
      </c>
      <c r="K5" s="11" t="n">
        <v>0.1879</v>
      </c>
      <c r="L5" s="19" t="s">
        <v>149</v>
      </c>
    </row>
    <row r="6" customFormat="false" ht="15" hidden="false" customHeight="true" outlineLevel="0" collapsed="false">
      <c r="A6" s="24" t="n">
        <v>30</v>
      </c>
      <c r="B6" s="28" t="n">
        <v>0.248269235088756</v>
      </c>
      <c r="C6" s="25" t="n">
        <v>14.5628179908931</v>
      </c>
      <c r="D6" s="24" t="n">
        <v>12.8365394668048</v>
      </c>
      <c r="E6" s="24" t="n">
        <v>15.9999999999957</v>
      </c>
      <c r="F6" s="24" t="n">
        <v>22.78491233482</v>
      </c>
      <c r="G6" s="11" t="n">
        <v>0</v>
      </c>
      <c r="H6" s="11" t="n">
        <v>0.45</v>
      </c>
      <c r="I6" s="11" t="n">
        <v>0.1018</v>
      </c>
      <c r="J6" s="11" t="n">
        <v>0.2624</v>
      </c>
      <c r="K6" s="11" t="n">
        <v>0.1858</v>
      </c>
      <c r="L6" s="19" t="s">
        <v>149</v>
      </c>
    </row>
    <row r="7" customFormat="false" ht="15" hidden="false" customHeight="true" outlineLevel="0" collapsed="false">
      <c r="A7" s="24" t="n">
        <v>32</v>
      </c>
      <c r="B7" s="28" t="n">
        <v>0.25149981522931</v>
      </c>
      <c r="C7" s="25" t="n">
        <v>14.4872000843767</v>
      </c>
      <c r="D7" s="24" t="n">
        <v>13.5380554103525</v>
      </c>
      <c r="E7" s="24" t="n">
        <v>15.9999999999966</v>
      </c>
      <c r="F7" s="24" t="n">
        <v>23.1795765385183</v>
      </c>
      <c r="G7" s="11" t="n">
        <v>0</v>
      </c>
      <c r="H7" s="11" t="n">
        <v>0.45</v>
      </c>
      <c r="I7" s="11" t="n">
        <v>0.1425</v>
      </c>
      <c r="J7" s="11" t="n">
        <v>0.2238</v>
      </c>
      <c r="K7" s="11" t="n">
        <v>0.1837</v>
      </c>
      <c r="L7" s="19" t="s">
        <v>149</v>
      </c>
    </row>
    <row r="8" customFormat="false" ht="15" hidden="false" customHeight="true" outlineLevel="0" collapsed="false">
      <c r="A8" s="24" t="n">
        <v>32.2</v>
      </c>
      <c r="B8" s="28" t="n">
        <v>0.251822873243335</v>
      </c>
      <c r="C8" s="25" t="n">
        <v>14.4794939657186</v>
      </c>
      <c r="D8" s="24" t="n">
        <v>13.6082070047011</v>
      </c>
      <c r="E8" s="24" t="n">
        <v>15.9999999999876</v>
      </c>
      <c r="F8" s="24" t="n">
        <v>23.2197962341495</v>
      </c>
      <c r="G8" s="11" t="n">
        <v>0</v>
      </c>
      <c r="H8" s="11" t="n">
        <v>0.45</v>
      </c>
      <c r="I8" s="11" t="n">
        <v>0.1466</v>
      </c>
      <c r="J8" s="11" t="n">
        <v>0.2199</v>
      </c>
      <c r="K8" s="11" t="n">
        <v>0.1835</v>
      </c>
      <c r="L8" s="19" t="s">
        <v>149</v>
      </c>
    </row>
    <row r="9" customFormat="false" ht="15" hidden="false" customHeight="true" outlineLevel="0" collapsed="false">
      <c r="A9" s="24" t="n">
        <v>34</v>
      </c>
      <c r="B9" s="28" t="n">
        <v>0.254730395369822</v>
      </c>
      <c r="C9" s="25" t="n">
        <v>14.4089164029521</v>
      </c>
      <c r="D9" s="24" t="n">
        <v>14.2395713538922</v>
      </c>
      <c r="E9" s="24" t="n">
        <v>15.9999999999743</v>
      </c>
      <c r="F9" s="24" t="n">
        <v>23.5881539273464</v>
      </c>
      <c r="G9" s="11" t="n">
        <v>0</v>
      </c>
      <c r="H9" s="11" t="n">
        <v>0.45</v>
      </c>
      <c r="I9" s="11" t="n">
        <v>0.1833</v>
      </c>
      <c r="J9" s="11" t="n">
        <v>0.1851</v>
      </c>
      <c r="K9" s="11" t="n">
        <v>0.1816</v>
      </c>
      <c r="L9" s="19" t="s">
        <v>149</v>
      </c>
    </row>
    <row r="10" customFormat="false" ht="15" hidden="false" customHeight="true" outlineLevel="0" collapsed="false">
      <c r="A10" s="24" t="n">
        <v>35</v>
      </c>
      <c r="B10" s="28" t="n">
        <v>0.256345685440115</v>
      </c>
      <c r="C10" s="25" t="n">
        <v>14.3562265784161</v>
      </c>
      <c r="D10" s="24" t="n">
        <v>14.5864705882359</v>
      </c>
      <c r="E10" s="24" t="n">
        <v>16</v>
      </c>
      <c r="F10" s="24" t="n">
        <v>23.8322662642749</v>
      </c>
      <c r="G10" s="11" t="n">
        <v>0</v>
      </c>
      <c r="H10" s="11" t="n">
        <v>0.4362</v>
      </c>
      <c r="I10" s="11" t="n">
        <v>0.2138</v>
      </c>
      <c r="J10" s="11" t="n">
        <v>0.1703</v>
      </c>
      <c r="K10" s="11" t="n">
        <v>0.1797</v>
      </c>
      <c r="L10" s="19" t="s">
        <v>149</v>
      </c>
    </row>
    <row r="11" customFormat="false" ht="15" hidden="false" customHeight="true" outlineLevel="0" collapsed="false">
      <c r="A11" s="24" t="n">
        <v>36</v>
      </c>
      <c r="B11" s="28" t="n">
        <v>0.257960975510387</v>
      </c>
      <c r="C11" s="25" t="n">
        <v>14.2443530262873</v>
      </c>
      <c r="D11" s="24" t="n">
        <v>14.9158823529423</v>
      </c>
      <c r="E11" s="24" t="n">
        <v>16.0000000000001</v>
      </c>
      <c r="F11" s="24" t="n">
        <v>24.2418306109403</v>
      </c>
      <c r="G11" s="11" t="n">
        <v>0</v>
      </c>
      <c r="H11" s="11" t="n">
        <v>0.3597</v>
      </c>
      <c r="I11" s="11" t="n">
        <v>0.2903</v>
      </c>
      <c r="J11" s="11" t="n">
        <v>0.1762</v>
      </c>
      <c r="K11" s="11" t="n">
        <v>0.1738</v>
      </c>
      <c r="L11" s="19" t="s">
        <v>149</v>
      </c>
    </row>
    <row r="12" customFormat="false" ht="15" hidden="false" customHeight="true" outlineLevel="0" collapsed="false">
      <c r="A12" s="24" t="n">
        <v>37</v>
      </c>
      <c r="B12" s="28" t="n">
        <v>0.259576265580661</v>
      </c>
      <c r="C12" s="25" t="n">
        <v>14.1285670802385</v>
      </c>
      <c r="D12" s="24" t="n">
        <v>15.2452941176492</v>
      </c>
      <c r="E12" s="24" t="n">
        <v>16.0000000000007</v>
      </c>
      <c r="F12" s="24" t="n">
        <v>24.6657180664118</v>
      </c>
      <c r="G12" s="11" t="n">
        <v>0</v>
      </c>
      <c r="H12" s="11" t="n">
        <v>0.2832</v>
      </c>
      <c r="I12" s="11" t="n">
        <v>0.3668</v>
      </c>
      <c r="J12" s="11" t="n">
        <v>0.1821</v>
      </c>
      <c r="K12" s="11" t="n">
        <v>0.1679</v>
      </c>
      <c r="L12" s="19" t="s">
        <v>149</v>
      </c>
    </row>
    <row r="13" customFormat="false" ht="15" hidden="false" customHeight="true" outlineLevel="0" collapsed="false">
      <c r="A13" s="24" t="n">
        <v>37.2</v>
      </c>
      <c r="B13" s="28" t="n">
        <v>0.259899323594707</v>
      </c>
      <c r="C13" s="25" t="n">
        <v>14.1049222797977</v>
      </c>
      <c r="D13" s="24" t="n">
        <v>15.3111764705884</v>
      </c>
      <c r="E13" s="24" t="n">
        <v>15.9999999999982</v>
      </c>
      <c r="F13" s="24" t="n">
        <v>24.75228068162</v>
      </c>
      <c r="G13" s="11" t="n">
        <v>0</v>
      </c>
      <c r="H13" s="11" t="n">
        <v>0.2679</v>
      </c>
      <c r="I13" s="11" t="n">
        <v>0.3821</v>
      </c>
      <c r="J13" s="11" t="n">
        <v>0.1832</v>
      </c>
      <c r="K13" s="11" t="n">
        <v>0.1668</v>
      </c>
      <c r="L13" s="19" t="s">
        <v>149</v>
      </c>
    </row>
    <row r="15" customFormat="false" ht="15" hidden="false" customHeight="true" outlineLevel="0" collapsed="false">
      <c r="A15" s="30" t="s">
        <v>150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</row>
    <row r="17" customFormat="false" ht="15" hidden="false" customHeight="true" outlineLevel="0" collapsed="false">
      <c r="A17" s="16" t="s">
        <v>151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</sheetData>
  <mergeCells count="3">
    <mergeCell ref="A2:L2"/>
    <mergeCell ref="A15:L15"/>
    <mergeCell ref="A17:L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45"/>
  </cols>
  <sheetData>
    <row r="1" customFormat="false" ht="15.75" hidden="false" customHeight="true" outlineLevel="0" collapsed="false">
      <c r="A1" s="27" t="s">
        <v>152</v>
      </c>
    </row>
    <row r="2" customFormat="false" ht="15" hidden="false" customHeight="true" outlineLevel="0" collapsed="false">
      <c r="A2" s="16" t="s">
        <v>153</v>
      </c>
      <c r="B2" s="16"/>
      <c r="C2" s="16"/>
      <c r="D2" s="16"/>
    </row>
    <row r="4" customFormat="false" ht="15" hidden="false" customHeight="true" outlineLevel="0" collapsed="false">
      <c r="A4" s="31" t="s">
        <v>154</v>
      </c>
    </row>
    <row r="5" customFormat="false" ht="15" hidden="false" customHeight="true" outlineLevel="0" collapsed="false">
      <c r="A5" s="32" t="s">
        <v>155</v>
      </c>
      <c r="B5" s="32" t="s">
        <v>156</v>
      </c>
      <c r="C5" s="32" t="s">
        <v>157</v>
      </c>
      <c r="D5" s="32" t="s">
        <v>158</v>
      </c>
    </row>
    <row r="6" customFormat="false" ht="31.5" hidden="false" customHeight="true" outlineLevel="0" collapsed="false">
      <c r="A6" s="33" t="s">
        <v>159</v>
      </c>
      <c r="B6" s="33" t="s">
        <v>160</v>
      </c>
      <c r="C6" s="33" t="s">
        <v>161</v>
      </c>
      <c r="D6" s="33" t="s">
        <v>162</v>
      </c>
    </row>
    <row r="7" customFormat="false" ht="31.5" hidden="false" customHeight="true" outlineLevel="0" collapsed="false">
      <c r="A7" s="33" t="s">
        <v>163</v>
      </c>
      <c r="B7" s="33" t="s">
        <v>164</v>
      </c>
      <c r="C7" s="33" t="s">
        <v>165</v>
      </c>
      <c r="D7" s="33" t="s">
        <v>166</v>
      </c>
    </row>
    <row r="8" customFormat="false" ht="31.5" hidden="false" customHeight="true" outlineLevel="0" collapsed="false">
      <c r="A8" s="33" t="s">
        <v>167</v>
      </c>
      <c r="B8" s="33" t="s">
        <v>168</v>
      </c>
      <c r="C8" s="33" t="s">
        <v>169</v>
      </c>
      <c r="D8" s="33" t="s">
        <v>170</v>
      </c>
    </row>
    <row r="9" customFormat="false" ht="31.5" hidden="false" customHeight="true" outlineLevel="0" collapsed="false">
      <c r="A9" s="33" t="s">
        <v>171</v>
      </c>
      <c r="B9" s="33" t="s">
        <v>172</v>
      </c>
      <c r="C9" s="33" t="s">
        <v>173</v>
      </c>
      <c r="D9" s="33" t="s">
        <v>174</v>
      </c>
    </row>
    <row r="10" customFormat="false" ht="31.5" hidden="false" customHeight="true" outlineLevel="0" collapsed="false">
      <c r="A10" s="33" t="s">
        <v>175</v>
      </c>
      <c r="B10" s="33" t="s">
        <v>176</v>
      </c>
      <c r="C10" s="33" t="s">
        <v>177</v>
      </c>
      <c r="D10" s="33" t="s">
        <v>178</v>
      </c>
    </row>
    <row r="11" customFormat="false" ht="31.5" hidden="false" customHeight="true" outlineLevel="0" collapsed="false">
      <c r="A11" s="33" t="s">
        <v>179</v>
      </c>
      <c r="B11" s="33" t="s">
        <v>180</v>
      </c>
      <c r="C11" s="33" t="s">
        <v>181</v>
      </c>
      <c r="D11" s="33" t="s">
        <v>178</v>
      </c>
    </row>
    <row r="12" customFormat="false" ht="31.5" hidden="false" customHeight="true" outlineLevel="0" collapsed="false">
      <c r="A12" s="33" t="s">
        <v>182</v>
      </c>
      <c r="B12" s="33" t="s">
        <v>183</v>
      </c>
      <c r="C12" s="33" t="s">
        <v>184</v>
      </c>
      <c r="D12" s="33" t="s">
        <v>185</v>
      </c>
    </row>
    <row r="14" customFormat="false" ht="15" hidden="false" customHeight="true" outlineLevel="0" collapsed="false">
      <c r="A14" s="34" t="s">
        <v>186</v>
      </c>
      <c r="B14" s="34"/>
      <c r="C14" s="34"/>
      <c r="D14" s="34"/>
    </row>
    <row r="16" customFormat="false" ht="15" hidden="false" customHeight="true" outlineLevel="0" collapsed="false">
      <c r="A16" s="31" t="s">
        <v>187</v>
      </c>
    </row>
    <row r="17" customFormat="false" ht="15" hidden="false" customHeight="true" outlineLevel="0" collapsed="false">
      <c r="A17" s="35" t="s">
        <v>188</v>
      </c>
      <c r="B17" s="35"/>
      <c r="C17" s="35"/>
      <c r="D17" s="35"/>
    </row>
    <row r="19" customFormat="false" ht="26.25" hidden="false" customHeight="true" outlineLevel="0" collapsed="false">
      <c r="A19" s="32" t="s">
        <v>189</v>
      </c>
      <c r="B19" s="32" t="s">
        <v>190</v>
      </c>
      <c r="C19" s="32" t="s">
        <v>191</v>
      </c>
      <c r="D19" s="32" t="s">
        <v>192</v>
      </c>
    </row>
    <row r="20" customFormat="false" ht="15" hidden="false" customHeight="true" outlineLevel="0" collapsed="false">
      <c r="A20" s="36" t="s">
        <v>193</v>
      </c>
      <c r="B20" s="36" t="s">
        <v>194</v>
      </c>
      <c r="C20" s="36" t="s">
        <v>195</v>
      </c>
      <c r="D20" s="36" t="s">
        <v>196</v>
      </c>
    </row>
    <row r="21" customFormat="false" ht="15" hidden="false" customHeight="true" outlineLevel="0" collapsed="false">
      <c r="A21" s="36" t="s">
        <v>197</v>
      </c>
      <c r="B21" s="36" t="s">
        <v>198</v>
      </c>
      <c r="C21" s="36" t="s">
        <v>198</v>
      </c>
      <c r="D21" s="36" t="s">
        <v>196</v>
      </c>
    </row>
    <row r="22" customFormat="false" ht="15" hidden="false" customHeight="true" outlineLevel="0" collapsed="false">
      <c r="A22" s="36" t="s">
        <v>199</v>
      </c>
      <c r="B22" s="36" t="s">
        <v>200</v>
      </c>
      <c r="C22" s="36" t="s">
        <v>201</v>
      </c>
      <c r="D22" s="36" t="s">
        <v>196</v>
      </c>
    </row>
    <row r="23" customFormat="false" ht="15" hidden="false" customHeight="true" outlineLevel="0" collapsed="false">
      <c r="A23" s="36" t="s">
        <v>202</v>
      </c>
      <c r="B23" s="36" t="s">
        <v>203</v>
      </c>
      <c r="C23" s="36" t="s">
        <v>204</v>
      </c>
      <c r="D23" s="36" t="s">
        <v>196</v>
      </c>
    </row>
    <row r="24" customFormat="false" ht="15" hidden="false" customHeight="true" outlineLevel="0" collapsed="false">
      <c r="A24" s="36" t="s">
        <v>205</v>
      </c>
      <c r="B24" s="36" t="s">
        <v>206</v>
      </c>
      <c r="C24" s="36" t="s">
        <v>207</v>
      </c>
      <c r="D24" s="36" t="s">
        <v>196</v>
      </c>
    </row>
    <row r="25" customFormat="false" ht="15" hidden="false" customHeight="true" outlineLevel="0" collapsed="false">
      <c r="A25" s="36" t="s">
        <v>208</v>
      </c>
      <c r="B25" s="36" t="s">
        <v>198</v>
      </c>
      <c r="C25" s="36" t="s">
        <v>198</v>
      </c>
      <c r="D25" s="36" t="s">
        <v>196</v>
      </c>
    </row>
    <row r="27" customFormat="false" ht="15" hidden="false" customHeight="true" outlineLevel="0" collapsed="false">
      <c r="A27" s="34" t="s">
        <v>209</v>
      </c>
      <c r="B27" s="34"/>
      <c r="C27" s="34"/>
      <c r="D27" s="34"/>
    </row>
    <row r="29" customFormat="false" ht="15" hidden="false" customHeight="true" outlineLevel="0" collapsed="false">
      <c r="A29" s="31" t="s">
        <v>210</v>
      </c>
    </row>
    <row r="30" customFormat="false" ht="15" hidden="false" customHeight="true" outlineLevel="0" collapsed="false">
      <c r="A30" s="16" t="s">
        <v>211</v>
      </c>
      <c r="B30" s="16"/>
      <c r="C30" s="16"/>
      <c r="D30" s="16"/>
    </row>
    <row r="31" customFormat="false" ht="15" hidden="false" customHeight="true" outlineLevel="0" collapsed="false">
      <c r="A31" s="37" t="s">
        <v>212</v>
      </c>
      <c r="B31" s="37" t="s">
        <v>213</v>
      </c>
      <c r="C31" s="37" t="s">
        <v>214</v>
      </c>
      <c r="D31" s="37"/>
    </row>
    <row r="32" customFormat="false" ht="15" hidden="false" customHeight="true" outlineLevel="0" collapsed="false">
      <c r="A32" s="36" t="s">
        <v>215</v>
      </c>
      <c r="B32" s="36" t="s">
        <v>216</v>
      </c>
      <c r="C32" s="36" t="s">
        <v>217</v>
      </c>
      <c r="D32" s="36"/>
    </row>
    <row r="33" customFormat="false" ht="15" hidden="false" customHeight="true" outlineLevel="0" collapsed="false">
      <c r="A33" s="36" t="s">
        <v>218</v>
      </c>
      <c r="B33" s="36" t="s">
        <v>219</v>
      </c>
      <c r="C33" s="36" t="s">
        <v>220</v>
      </c>
      <c r="D33" s="36"/>
    </row>
    <row r="34" customFormat="false" ht="15" hidden="false" customHeight="true" outlineLevel="0" collapsed="false">
      <c r="A34" s="36" t="s">
        <v>221</v>
      </c>
      <c r="B34" s="36" t="s">
        <v>222</v>
      </c>
      <c r="C34" s="36" t="s">
        <v>223</v>
      </c>
      <c r="D34" s="36"/>
    </row>
    <row r="35" customFormat="false" ht="15" hidden="false" customHeight="true" outlineLevel="0" collapsed="false">
      <c r="A35" s="36" t="s">
        <v>224</v>
      </c>
      <c r="B35" s="36" t="s">
        <v>225</v>
      </c>
      <c r="C35" s="36" t="s">
        <v>226</v>
      </c>
      <c r="D35" s="36"/>
    </row>
    <row r="37" customFormat="false" ht="15" hidden="false" customHeight="true" outlineLevel="0" collapsed="false">
      <c r="A37" s="38" t="s">
        <v>227</v>
      </c>
      <c r="B37" s="38"/>
      <c r="C37" s="38"/>
      <c r="D37" s="38"/>
    </row>
    <row r="39" customFormat="false" ht="15" hidden="false" customHeight="true" outlineLevel="0" collapsed="false">
      <c r="A39" s="31" t="s">
        <v>228</v>
      </c>
    </row>
    <row r="40" customFormat="false" ht="15" hidden="false" customHeight="true" outlineLevel="0" collapsed="false">
      <c r="A40" s="16" t="s">
        <v>229</v>
      </c>
      <c r="B40" s="16"/>
      <c r="C40" s="16"/>
      <c r="D40" s="16"/>
    </row>
    <row r="41" customFormat="false" ht="15" hidden="false" customHeight="true" outlineLevel="0" collapsed="false">
      <c r="A41" s="16" t="s">
        <v>230</v>
      </c>
      <c r="B41" s="16"/>
      <c r="C41" s="16"/>
      <c r="D41" s="16"/>
    </row>
    <row r="42" customFormat="false" ht="15" hidden="false" customHeight="true" outlineLevel="0" collapsed="false">
      <c r="A42" s="16" t="s">
        <v>231</v>
      </c>
      <c r="B42" s="16"/>
      <c r="C42" s="16"/>
      <c r="D42" s="16"/>
    </row>
    <row r="43" customFormat="false" ht="15" hidden="false" customHeight="true" outlineLevel="0" collapsed="false">
      <c r="A43" s="16" t="s">
        <v>232</v>
      </c>
      <c r="B43" s="16"/>
      <c r="C43" s="16"/>
      <c r="D43" s="16"/>
    </row>
    <row r="44" customFormat="false" ht="15" hidden="false" customHeight="true" outlineLevel="0" collapsed="false">
      <c r="A44" s="39"/>
      <c r="B44" s="39"/>
      <c r="C44" s="39"/>
      <c r="D44" s="39"/>
    </row>
    <row r="45" customFormat="false" ht="15" hidden="false" customHeight="true" outlineLevel="0" collapsed="false">
      <c r="A45" s="16" t="s">
        <v>233</v>
      </c>
      <c r="B45" s="16"/>
      <c r="C45" s="16"/>
      <c r="D45" s="16"/>
    </row>
    <row r="46" customFormat="false" ht="15" hidden="false" customHeight="true" outlineLevel="0" collapsed="false">
      <c r="A46" s="16" t="s">
        <v>234</v>
      </c>
      <c r="B46" s="16"/>
      <c r="C46" s="16"/>
      <c r="D46" s="16"/>
    </row>
    <row r="47" customFormat="false" ht="15" hidden="false" customHeight="true" outlineLevel="0" collapsed="false">
      <c r="A47" s="16" t="s">
        <v>235</v>
      </c>
      <c r="B47" s="16"/>
      <c r="C47" s="16"/>
      <c r="D47" s="16"/>
    </row>
    <row r="48" customFormat="false" ht="15" hidden="false" customHeight="true" outlineLevel="0" collapsed="false">
      <c r="A48" s="16" t="s">
        <v>236</v>
      </c>
      <c r="B48" s="16"/>
      <c r="C48" s="16"/>
      <c r="D48" s="16"/>
    </row>
    <row r="49" customFormat="false" ht="15" hidden="false" customHeight="true" outlineLevel="0" collapsed="false">
      <c r="A49" s="16" t="s">
        <v>237</v>
      </c>
      <c r="B49" s="16"/>
      <c r="C49" s="16"/>
      <c r="D49" s="16"/>
    </row>
    <row r="50" customFormat="false" ht="15" hidden="false" customHeight="true" outlineLevel="0" collapsed="false">
      <c r="A50" s="16" t="s">
        <v>238</v>
      </c>
      <c r="B50" s="16"/>
      <c r="C50" s="16"/>
      <c r="D50" s="16"/>
    </row>
    <row r="51" customFormat="false" ht="15" hidden="false" customHeight="true" outlineLevel="0" collapsed="false">
      <c r="A51" s="16" t="s">
        <v>239</v>
      </c>
      <c r="B51" s="16"/>
      <c r="C51" s="16"/>
      <c r="D51" s="16"/>
    </row>
    <row r="52" customFormat="false" ht="15" hidden="false" customHeight="true" outlineLevel="0" collapsed="false">
      <c r="A52" s="16" t="s">
        <v>240</v>
      </c>
      <c r="B52" s="16"/>
      <c r="C52" s="16"/>
      <c r="D52" s="16"/>
    </row>
  </sheetData>
  <mergeCells count="19">
    <mergeCell ref="A2:D2"/>
    <mergeCell ref="A14:D14"/>
    <mergeCell ref="A17:D17"/>
    <mergeCell ref="A27:D27"/>
    <mergeCell ref="A30:D30"/>
    <mergeCell ref="A37:D37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5" min="3" style="1" width="12"/>
    <col collapsed="false" customWidth="true" hidden="false" outlineLevel="0" max="7" min="6" style="1" width="10"/>
    <col collapsed="false" customWidth="true" hidden="false" outlineLevel="0" max="8" min="8" style="1" width="12"/>
    <col collapsed="false" customWidth="true" hidden="false" outlineLevel="0" max="9" min="9" style="1" width="65"/>
  </cols>
  <sheetData>
    <row r="1" customFormat="false" ht="15.75" hidden="false" customHeight="true" outlineLevel="0" collapsed="false">
      <c r="A1" s="27" t="s">
        <v>241</v>
      </c>
    </row>
    <row r="2" customFormat="false" ht="60" hidden="false" customHeight="true" outlineLevel="0" collapsed="false">
      <c r="A2" s="40" t="s">
        <v>242</v>
      </c>
      <c r="B2" s="40"/>
      <c r="C2" s="40"/>
      <c r="D2" s="40"/>
      <c r="E2" s="40"/>
      <c r="F2" s="40"/>
      <c r="G2" s="40"/>
      <c r="H2" s="40"/>
      <c r="I2" s="40"/>
    </row>
    <row r="4" customFormat="false" ht="36" hidden="false" customHeight="true" outlineLevel="0" collapsed="false">
      <c r="A4" s="29" t="s">
        <v>243</v>
      </c>
      <c r="B4" s="29" t="s">
        <v>244</v>
      </c>
      <c r="C4" s="29" t="s">
        <v>245</v>
      </c>
      <c r="D4" s="29" t="s">
        <v>246</v>
      </c>
      <c r="E4" s="29" t="s">
        <v>247</v>
      </c>
      <c r="F4" s="29" t="s">
        <v>248</v>
      </c>
      <c r="G4" s="29" t="s">
        <v>249</v>
      </c>
      <c r="H4" s="29" t="s">
        <v>250</v>
      </c>
      <c r="I4" s="29" t="s">
        <v>251</v>
      </c>
    </row>
    <row r="5" customFormat="false" ht="15" hidden="false" customHeight="true" outlineLevel="0" collapsed="false">
      <c r="A5" s="24" t="n">
        <v>30</v>
      </c>
      <c r="B5" s="41" t="n">
        <v>0.2483</v>
      </c>
      <c r="C5" s="25" t="n">
        <v>15.32</v>
      </c>
      <c r="D5" s="24" t="n">
        <v>35</v>
      </c>
      <c r="E5" s="24" t="n">
        <v>31.7</v>
      </c>
      <c r="F5" s="24" t="n">
        <v>7.6</v>
      </c>
      <c r="G5" s="24" t="n">
        <v>20</v>
      </c>
      <c r="H5" s="24" t="n">
        <v>5.7</v>
      </c>
      <c r="I5" s="24" t="n">
        <v>0</v>
      </c>
    </row>
    <row r="6" customFormat="false" ht="15" hidden="false" customHeight="true" outlineLevel="0" collapsed="false">
      <c r="A6" s="24" t="n">
        <v>32</v>
      </c>
      <c r="B6" s="41" t="n">
        <v>0.2515</v>
      </c>
      <c r="C6" s="25" t="n">
        <v>15.33</v>
      </c>
      <c r="D6" s="24" t="n">
        <v>35</v>
      </c>
      <c r="E6" s="24" t="n">
        <v>28.5</v>
      </c>
      <c r="F6" s="24" t="n">
        <v>7.4</v>
      </c>
      <c r="G6" s="24" t="n">
        <v>20</v>
      </c>
      <c r="H6" s="24" t="n">
        <v>9.1</v>
      </c>
      <c r="I6" s="24" t="n">
        <v>0</v>
      </c>
    </row>
    <row r="7" customFormat="false" ht="15" hidden="false" customHeight="true" outlineLevel="0" collapsed="false">
      <c r="A7" s="24" t="n">
        <v>34</v>
      </c>
      <c r="B7" s="41" t="n">
        <v>0.2547</v>
      </c>
      <c r="C7" s="25" t="n">
        <v>15.35</v>
      </c>
      <c r="D7" s="24" t="n">
        <v>35</v>
      </c>
      <c r="E7" s="24" t="n">
        <v>25.4</v>
      </c>
      <c r="F7" s="24" t="n">
        <v>7.1</v>
      </c>
      <c r="G7" s="24" t="n">
        <v>20</v>
      </c>
      <c r="H7" s="24" t="n">
        <v>12.5</v>
      </c>
      <c r="I7" s="24" t="n">
        <v>0</v>
      </c>
    </row>
    <row r="8" customFormat="false" ht="15" hidden="false" customHeight="true" outlineLevel="0" collapsed="false">
      <c r="A8" s="24" t="n">
        <v>36</v>
      </c>
      <c r="B8" s="41" t="n">
        <v>0.258</v>
      </c>
      <c r="C8" s="25" t="n">
        <v>15.36</v>
      </c>
      <c r="D8" s="24" t="n">
        <v>35</v>
      </c>
      <c r="E8" s="24" t="n">
        <v>22.2</v>
      </c>
      <c r="F8" s="24" t="n">
        <v>6.9</v>
      </c>
      <c r="G8" s="24" t="n">
        <v>20</v>
      </c>
      <c r="H8" s="24" t="n">
        <v>16</v>
      </c>
      <c r="I8" s="24" t="n">
        <v>0</v>
      </c>
    </row>
    <row r="9" customFormat="false" ht="15" hidden="false" customHeight="true" outlineLevel="0" collapsed="false">
      <c r="A9" s="24" t="n">
        <v>38</v>
      </c>
      <c r="B9" s="41" t="n">
        <v>0.2612</v>
      </c>
      <c r="C9" s="25" t="n">
        <v>15.37</v>
      </c>
      <c r="D9" s="24" t="n">
        <v>35</v>
      </c>
      <c r="E9" s="24" t="n">
        <v>19</v>
      </c>
      <c r="F9" s="24" t="n">
        <v>6.6</v>
      </c>
      <c r="G9" s="24" t="n">
        <v>20</v>
      </c>
      <c r="H9" s="24" t="n">
        <v>19.4</v>
      </c>
      <c r="I9" s="24" t="n">
        <v>0</v>
      </c>
    </row>
    <row r="10" customFormat="false" ht="15" hidden="false" customHeight="true" outlineLevel="0" collapsed="false">
      <c r="A10" s="24" t="n">
        <v>40</v>
      </c>
      <c r="B10" s="41" t="n">
        <v>0.2617</v>
      </c>
      <c r="C10" s="25" t="n">
        <v>15.37</v>
      </c>
      <c r="D10" s="24" t="n">
        <v>35</v>
      </c>
      <c r="E10" s="24" t="n">
        <v>18.5</v>
      </c>
      <c r="F10" s="24" t="n">
        <v>6.5</v>
      </c>
      <c r="G10" s="24" t="n">
        <v>20</v>
      </c>
      <c r="H10" s="24" t="n">
        <v>20</v>
      </c>
      <c r="I10" s="24" t="n">
        <v>0</v>
      </c>
    </row>
    <row r="11" customFormat="false" ht="15" hidden="false" customHeight="true" outlineLevel="0" collapsed="false">
      <c r="A11" s="24" t="n">
        <v>41.7</v>
      </c>
      <c r="B11" s="41" t="n">
        <v>0.2617</v>
      </c>
      <c r="C11" s="25" t="n">
        <v>15.37</v>
      </c>
      <c r="D11" s="24" t="n">
        <v>35</v>
      </c>
      <c r="E11" s="24" t="n">
        <v>18.5</v>
      </c>
      <c r="F11" s="24" t="n">
        <v>6.5</v>
      </c>
      <c r="G11" s="24" t="n">
        <v>20</v>
      </c>
      <c r="H11" s="24" t="n">
        <v>20</v>
      </c>
      <c r="I11" s="24" t="n">
        <v>0</v>
      </c>
    </row>
    <row r="13" customFormat="false" ht="45" hidden="false" customHeight="true" outlineLevel="0" collapsed="false">
      <c r="A13" s="42" t="s">
        <v>252</v>
      </c>
      <c r="B13" s="42"/>
      <c r="C13" s="42"/>
      <c r="D13" s="42"/>
      <c r="E13" s="42"/>
      <c r="F13" s="42"/>
      <c r="G13" s="42"/>
      <c r="H13" s="42"/>
      <c r="I13" s="42"/>
    </row>
    <row r="15" customFormat="false" ht="21.75" hidden="false" customHeight="true" outlineLevel="0" collapsed="false">
      <c r="A15" s="40" t="s">
        <v>253</v>
      </c>
      <c r="B15" s="40"/>
      <c r="C15" s="40"/>
      <c r="D15" s="40"/>
      <c r="E15" s="40"/>
      <c r="F15" s="40"/>
      <c r="G15" s="40"/>
      <c r="H15" s="40"/>
      <c r="I15" s="40"/>
    </row>
  </sheetData>
  <mergeCells count="3">
    <mergeCell ref="A2:I2"/>
    <mergeCell ref="A13:I13"/>
    <mergeCell ref="A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2026-08-08T08:35:44Z</dcterms:created>
  <dc:creator>Halil Tosun; Victor E. Cabrera</dc:creator>
  <dc:description/>
  <dc:language>en-US</dc:language>
  <cp:lastModifiedBy/>
  <dcterms:modified xsi:type="dcterms:W3CDTF">2026-08-12T05:48:30Z</dcterms:modified>
  <cp:revision>3</cp:revision>
  <dc:subject>Constrained optimization model - dairy diet NDF, enteric methane, and farm economics</dc:subject>
  <dc:title>Dietary Fiber Strategy - GHG Emission Intensity vs. Farm Economics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